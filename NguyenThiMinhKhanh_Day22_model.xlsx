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_README" sheetId="1" state="visible" r:id="rId1"/>
    <sheet xmlns:r="http://schemas.openxmlformats.org/officeDocument/2006/relationships" name="1_Cost_Job" sheetId="2" state="visible" r:id="rId2"/>
    <sheet xmlns:r="http://schemas.openxmlformats.org/officeDocument/2006/relationships" name="2_Pricing" sheetId="3" state="visible" r:id="rId3"/>
    <sheet xmlns:r="http://schemas.openxmlformats.org/officeDocument/2006/relationships" name="3_Value_Metric" sheetId="4" state="visible" r:id="rId4"/>
    <sheet xmlns:r="http://schemas.openxmlformats.org/officeDocument/2006/relationships" name="4_Channel_Fit" sheetId="5" state="visible" r:id="rId5"/>
    <sheet xmlns:r="http://schemas.openxmlformats.org/officeDocument/2006/relationships" name="5_90Day_Plan" sheetId="6" state="visible" r:id="rId6"/>
    <sheet xmlns:r="http://schemas.openxmlformats.org/officeDocument/2006/relationships" name="6_Benchmark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0.0%"/>
    <numFmt numFmtId="165" formatCode="$#,##0.00"/>
    <numFmt numFmtId="166" formatCode="$#,##0.0000"/>
    <numFmt numFmtId="167" formatCode="0.0"/>
    <numFmt numFmtId="168" formatCode="#,##0 VNĐ"/>
    <numFmt numFmtId="169" formatCode="$#,##0.000"/>
  </numFmts>
  <fonts count="7">
    <font>
      <name val="Calibri"/>
      <family val="2"/>
      <color theme="1"/>
      <sz val="11"/>
      <scheme val="minor"/>
    </font>
    <font>
      <name val="Calibri"/>
      <b val="1"/>
      <color rgb="001F4E78"/>
      <sz val="13"/>
    </font>
    <font>
      <name val="Calibri"/>
      <i val="1"/>
      <color rgb="00595959"/>
      <sz val="9"/>
    </font>
    <font>
      <name val="Calibri"/>
      <b val="1"/>
      <color rgb="00000000"/>
      <sz val="10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color rgb="00333333"/>
      <sz val="9"/>
    </font>
  </fonts>
  <fills count="10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  <fill>
      <patternFill patternType="solid">
        <fgColor rgb="00FFF2CC"/>
        <bgColor rgb="00FFF2CC"/>
      </patternFill>
    </fill>
    <fill>
      <patternFill patternType="solid">
        <fgColor rgb="00F2F2F2"/>
        <bgColor rgb="00F2F2F2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D6DCE5"/>
        <bgColor rgb="00D6DCE5"/>
      </patternFill>
    </fill>
    <fill>
      <patternFill patternType="solid">
        <fgColor rgb="002F5597"/>
        <bgColor rgb="002F5597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6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pivotButton="0" quotePrefix="0" xfId="0"/>
    <xf numFmtId="0" fontId="5" fillId="4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5" fillId="0" borderId="1" pivotButton="0" quotePrefix="0" xfId="0"/>
    <xf numFmtId="3" fontId="3" fillId="4" borderId="1" applyAlignment="1" pivotButton="0" quotePrefix="0" xfId="0">
      <alignment horizontal="right" vertical="center"/>
    </xf>
    <xf numFmtId="0" fontId="2" fillId="0" borderId="1" pivotButton="0" quotePrefix="0" xfId="0"/>
    <xf numFmtId="0" fontId="6" fillId="0" borderId="1" pivotButton="0" quotePrefix="0" xfId="0"/>
    <xf numFmtId="164" fontId="3" fillId="4" borderId="1" applyAlignment="1" pivotButton="0" quotePrefix="0" xfId="0">
      <alignment horizontal="right" vertical="center"/>
    </xf>
    <xf numFmtId="3" fontId="3" fillId="5" borderId="1" applyAlignment="1" pivotButton="0" quotePrefix="0" xfId="0">
      <alignment horizontal="right" vertical="center"/>
    </xf>
    <xf numFmtId="3" fontId="5" fillId="5" borderId="1" applyAlignment="1" pivotButton="0" quotePrefix="0" xfId="0">
      <alignment horizontal="right" vertical="center"/>
    </xf>
    <xf numFmtId="49" fontId="5" fillId="4" borderId="1" applyAlignment="1" pivotButton="0" quotePrefix="0" xfId="0">
      <alignment horizontal="left" vertical="center"/>
    </xf>
    <xf numFmtId="165" fontId="5" fillId="4" borderId="1" applyAlignment="1" pivotButton="0" quotePrefix="0" xfId="0">
      <alignment horizontal="right" vertical="center"/>
    </xf>
    <xf numFmtId="3" fontId="5" fillId="4" borderId="1" applyAlignment="1" pivotButton="0" quotePrefix="0" xfId="0">
      <alignment horizontal="right" vertical="center"/>
    </xf>
    <xf numFmtId="166" fontId="5" fillId="5" borderId="1" applyAlignment="1" pivotButton="0" quotePrefix="0" xfId="0">
      <alignment horizontal="right" vertical="center"/>
    </xf>
    <xf numFmtId="166" fontId="3" fillId="5" borderId="1" applyAlignment="1" pivotButton="0" quotePrefix="0" xfId="0">
      <alignment horizontal="right" vertical="center"/>
    </xf>
    <xf numFmtId="164" fontId="3" fillId="6" borderId="1" applyAlignment="1" pivotButton="0" quotePrefix="0" xfId="0">
      <alignment horizontal="right" vertical="center"/>
    </xf>
    <xf numFmtId="165" fontId="3" fillId="8" borderId="1" applyAlignment="1" pivotButton="0" quotePrefix="0" xfId="0">
      <alignment horizontal="right" vertical="center"/>
    </xf>
    <xf numFmtId="165" fontId="3" fillId="5" borderId="1" applyAlignment="1" pivotButton="0" quotePrefix="0" xfId="0">
      <alignment horizontal="right" vertical="center"/>
    </xf>
    <xf numFmtId="166" fontId="5" fillId="4" borderId="1" applyAlignment="1" pivotButton="0" quotePrefix="0" xfId="0">
      <alignment horizontal="right" vertical="center"/>
    </xf>
    <xf numFmtId="49" fontId="3" fillId="3" borderId="1" applyAlignment="1" pivotButton="0" quotePrefix="0" xfId="0">
      <alignment horizontal="left" vertical="center"/>
    </xf>
    <xf numFmtId="164" fontId="5" fillId="4" borderId="1" applyAlignment="1" pivotButton="0" quotePrefix="0" xfId="0">
      <alignment horizontal="right" vertical="center"/>
    </xf>
    <xf numFmtId="167" fontId="5" fillId="4" borderId="1" applyAlignment="1" pivotButton="0" quotePrefix="0" xfId="0">
      <alignment horizontal="right" vertical="center"/>
    </xf>
    <xf numFmtId="165" fontId="3" fillId="4" borderId="1" applyAlignment="1" pivotButton="0" quotePrefix="0" xfId="0">
      <alignment horizontal="right" vertical="center"/>
    </xf>
    <xf numFmtId="0" fontId="4" fillId="9" borderId="0" pivotButton="0" quotePrefix="0" xfId="0"/>
    <xf numFmtId="165" fontId="5" fillId="5" borderId="1" applyAlignment="1" pivotButton="0" quotePrefix="0" xfId="0">
      <alignment horizontal="right" vertical="center"/>
    </xf>
    <xf numFmtId="3" fontId="3" fillId="6" borderId="1" applyAlignment="1" pivotButton="0" quotePrefix="0" xfId="0">
      <alignment horizontal="right" vertical="center"/>
    </xf>
    <xf numFmtId="166" fontId="3" fillId="6" borderId="1" applyAlignment="1" pivotButton="0" quotePrefix="0" xfId="0">
      <alignment horizontal="right" vertical="center"/>
    </xf>
    <xf numFmtId="168" fontId="3" fillId="6" borderId="1" applyAlignment="1" pivotButton="0" quotePrefix="0" xfId="0">
      <alignment horizontal="right" vertical="center"/>
    </xf>
    <xf numFmtId="169" fontId="3" fillId="5" borderId="1" applyAlignment="1" pivotButton="0" quotePrefix="0" xfId="0">
      <alignment horizontal="right" vertical="center"/>
    </xf>
    <xf numFmtId="169" fontId="3" fillId="6" borderId="1" applyAlignment="1" pivotButton="0" quotePrefix="0" xfId="0">
      <alignment horizontal="right" vertical="center"/>
    </xf>
    <xf numFmtId="169" fontId="5" fillId="4" borderId="1" applyAlignment="1" pivotButton="0" quotePrefix="0" xfId="0">
      <alignment horizontal="right" vertical="center"/>
    </xf>
    <xf numFmtId="169" fontId="3" fillId="4" borderId="1" applyAlignment="1" pivotButton="0" quotePrefix="0" xfId="0">
      <alignment horizontal="right" vertical="center"/>
    </xf>
    <xf numFmtId="169" fontId="5" fillId="5" borderId="1" applyAlignment="1" pivotButton="0" quotePrefix="0" xfId="0">
      <alignment horizontal="right" vertical="center"/>
    </xf>
    <xf numFmtId="164" fontId="3" fillId="0" borderId="1" applyAlignment="1" pivotButton="0" quotePrefix="0" xfId="0">
      <alignment horizontal="center" vertical="center"/>
    </xf>
    <xf numFmtId="3" fontId="5" fillId="0" borderId="1" applyAlignment="1" pivotButton="0" quotePrefix="0" xfId="0">
      <alignment horizontal="right" vertical="center"/>
    </xf>
    <xf numFmtId="165" fontId="5" fillId="0" borderId="1" applyAlignment="1" pivotButton="0" quotePrefix="0" xfId="0">
      <alignment horizontal="right" vertical="center"/>
    </xf>
    <xf numFmtId="166" fontId="3" fillId="0" borderId="1" applyAlignment="1" pivotButton="0" quotePrefix="0" xfId="0">
      <alignment horizontal="right" vertical="center"/>
    </xf>
    <xf numFmtId="164" fontId="3" fillId="7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3" fillId="6" borderId="1" pivotButton="0" quotePrefix="0" xfId="0"/>
    <xf numFmtId="164" fontId="3" fillId="5" borderId="1" applyAlignment="1" pivotButton="0" quotePrefix="0" xfId="0">
      <alignment horizontal="right" vertical="center"/>
    </xf>
    <xf numFmtId="1" fontId="3" fillId="4" borderId="1" applyAlignment="1" pivotButton="0" quotePrefix="0" xfId="0">
      <alignment horizontal="right" vertical="center"/>
    </xf>
    <xf numFmtId="165" fontId="3" fillId="6" borderId="1" applyAlignment="1" pivotButton="0" quotePrefix="0" xfId="0">
      <alignment horizontal="right" vertical="center"/>
    </xf>
    <xf numFmtId="1" fontId="5" fillId="5" borderId="1" applyAlignment="1" pivotButton="0" quotePrefix="0" xfId="0">
      <alignment horizontal="right" vertical="center"/>
    </xf>
    <xf numFmtId="1" fontId="5" fillId="4" borderId="1" applyAlignment="1" pivotButton="0" quotePrefix="0" xfId="0">
      <alignment horizontal="right" vertical="center"/>
    </xf>
    <xf numFmtId="2" fontId="3" fillId="6" borderId="1" applyAlignment="1" pivotButton="0" quotePrefix="0" xfId="0">
      <alignment horizontal="right" vertical="center"/>
    </xf>
    <xf numFmtId="165" fontId="3" fillId="7" borderId="1" applyAlignment="1" pivotButton="0" quotePrefix="0" xfId="0">
      <alignment horizontal="right" vertical="center"/>
    </xf>
    <xf numFmtId="2" fontId="3" fillId="7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65" customWidth="1" min="3" max="3"/>
    <col width="45" customWidth="1" min="4" max="4"/>
  </cols>
  <sheetData>
    <row r="1">
      <c r="A1" s="1" t="inlineStr">
        <is>
          <t>LAB THỰC CHIẾN DAY 22: AI MONETIZATION, UNIT ECONOMICS &amp; GTM STRATEGY</t>
        </is>
      </c>
    </row>
    <row r="2">
      <c r="A2" s="2" t="inlineStr">
        <is>
          <t>Học viên: Nguyễn Thị Minh Khánh | Mã học viên: 2A202602546 | Repository: Track1_Day22_2A202602546_NguyenThiMinhKhanh</t>
        </is>
      </c>
    </row>
    <row r="3">
      <c r="A3" s="3" t="inlineStr">
        <is>
          <t>Ngày chốt giá API &amp; Benchmark: 26/08/2026 | Tỷ giá quy đổi: 26,000 VND / USD</t>
        </is>
      </c>
    </row>
    <row r="5">
      <c r="A5" s="4" t="inlineStr">
        <is>
          <t>QUY ƯỚC MÀU TRONG BẢNG TÍNH</t>
        </is>
      </c>
    </row>
    <row r="6">
      <c r="A6" s="5" t="inlineStr">
        <is>
          <t>Màu sắc</t>
        </is>
      </c>
      <c r="B6" s="5" t="inlineStr">
        <is>
          <t>Tên quy ước</t>
        </is>
      </c>
      <c r="C6" s="5" t="inlineStr">
        <is>
          <t>Ý nghĩa / Hành động của người làm bài</t>
        </is>
      </c>
      <c r="D6" s="5" t="inlineStr">
        <is>
          <t>Ví dụ áp dụng</t>
        </is>
      </c>
    </row>
    <row r="7">
      <c r="A7" s="6" t="inlineStr">
        <is>
          <t>🟡 MÀU VÀNG</t>
        </is>
      </c>
      <c r="B7" s="7" t="inlineStr">
        <is>
          <t>User Input</t>
        </is>
      </c>
      <c r="C7" s="7" t="inlineStr">
        <is>
          <t>Ô người làm bài BẮT BUỘC phải điền số liệu / thông tin giả định</t>
        </is>
      </c>
      <c r="D7" s="7" t="inlineStr">
        <is>
          <t>Giá API, số turn, containment rate</t>
        </is>
      </c>
    </row>
    <row r="8">
      <c r="A8" s="8" t="inlineStr">
        <is>
          <t>⬜ MÀU XÁM</t>
        </is>
      </c>
      <c r="B8" s="7" t="inlineStr">
        <is>
          <t>Formula / Calculated</t>
        </is>
      </c>
      <c r="C8" s="7" t="inlineStr">
        <is>
          <t>Công thức tự động tính toán - TUYỆT ĐỐI KHÔNG ĐƯỢC GHI ĐÈ</t>
        </is>
      </c>
      <c r="D8" s="7" t="inlineStr">
        <is>
          <t>Tổng LLM cost, Cost/Job, CAC Budget</t>
        </is>
      </c>
    </row>
    <row r="9">
      <c r="A9" s="9" t="inlineStr">
        <is>
          <t>🟩 MÀU XANH LÁ</t>
        </is>
      </c>
      <c r="B9" s="7" t="inlineStr">
        <is>
          <t>Target Achieved / Healthy</t>
        </is>
      </c>
      <c r="C9" s="7" t="inlineStr">
        <is>
          <t>Chỉ số đạt ngưỡng chuẩn an toàn tài chính (Gross Margin &gt;= 60%, LTV:CAC &gt;= 3)</t>
        </is>
      </c>
      <c r="D9" s="7" t="inlineStr">
        <is>
          <t>Gross Margin 72%, Payback 4.5 tháng</t>
        </is>
      </c>
    </row>
    <row r="10">
      <c r="A10" s="10" t="inlineStr">
        <is>
          <t>🟥 MÀU ĐỎ / CAM</t>
        </is>
      </c>
      <c r="B10" s="7" t="inlineStr">
        <is>
          <t>Alert / Unhealthy</t>
        </is>
      </c>
      <c r="C10" s="7" t="inlineStr">
        <is>
          <t>Chỉ số rơi vào vùng nguy hiểm tài chính - Cần điều chỉnh mô hình</t>
        </is>
      </c>
      <c r="D10" s="7" t="inlineStr">
        <is>
          <t>Gross Margin &lt; 50%, Deal/AE &gt; 1 deal/ngày</t>
        </is>
      </c>
    </row>
    <row r="13">
      <c r="A13" s="4" t="inlineStr">
        <is>
          <t>BẢN ĐỒ CÁC TAB LÀM VIỆC VÀ NỘI DUNG CHÍNH</t>
        </is>
      </c>
    </row>
    <row r="14">
      <c r="A14" s="5" t="inlineStr">
        <is>
          <t>Tab</t>
        </is>
      </c>
      <c r="B14" s="5" t="inlineStr">
        <is>
          <t>Tên Tab</t>
        </is>
      </c>
      <c r="C14" s="5" t="inlineStr">
        <is>
          <t>Vai trò &amp; Nội dung chi tiết</t>
        </is>
      </c>
      <c r="D14" s="5" t="inlineStr">
        <is>
          <t>Đầu ra cốt lõi (Key Deliverables)</t>
        </is>
      </c>
    </row>
    <row r="15">
      <c r="A15" s="11" t="inlineStr">
        <is>
          <t>Tab 0</t>
        </is>
      </c>
      <c r="B15" s="12" t="inlineStr">
        <is>
          <t>0_README</t>
        </is>
      </c>
      <c r="C15" s="7" t="inlineStr">
        <is>
          <t>Hướng dẫn quy ước, ngày chốt giá, danh mục các tab</t>
        </is>
      </c>
      <c r="D15" s="7" t="inlineStr">
        <is>
          <t>Bản đồ cấu trúc làm bài</t>
        </is>
      </c>
    </row>
    <row r="16">
      <c r="A16" s="11" t="inlineStr">
        <is>
          <t>Tab 1</t>
        </is>
      </c>
      <c r="B16" s="12" t="inlineStr">
        <is>
          <t>1_Cost_Job</t>
        </is>
      </c>
      <c r="C16" s="7" t="inlineStr">
        <is>
          <t>Tab nặng nhất: Tính Cost/Job đầy đủ 5 thành phần (LLM + Infra + HITL + Retry + Overhead)</t>
        </is>
      </c>
      <c r="D16" s="7" t="inlineStr">
        <is>
          <t>Cost/Job hoàn thành (Biến thể A &amp; B)</t>
        </is>
      </c>
    </row>
    <row r="17">
      <c r="A17" s="11" t="inlineStr">
        <is>
          <t>Tab 2</t>
        </is>
      </c>
      <c r="B17" s="12" t="inlineStr">
        <is>
          <t>2_Pricing</t>
        </is>
      </c>
      <c r="C17" s="7" t="inlineStr">
        <is>
          <t>Tính giá sàn (3x Cost/Job), neo giá trần, xác định Gross Margin và Stress Test Breakeven</t>
        </is>
      </c>
      <c r="D17" s="7" t="inlineStr">
        <is>
          <t>Giá đề xuất ($0.60), Gross Margin (72%), Breakeven (68.4%)</t>
        </is>
      </c>
    </row>
    <row r="18">
      <c r="A18" s="11" t="inlineStr">
        <is>
          <t>Tab 3</t>
        </is>
      </c>
      <c r="B18" s="12" t="inlineStr">
        <is>
          <t>3_Value_Metric</t>
        </is>
      </c>
      <c r="C18" s="7" t="inlineStr">
        <is>
          <t>Đánh giá ma trận Attribution x Autonomy, benchmark thị trường, chốt đơn vị tính tiền</t>
        </is>
      </c>
      <c r="D18" s="7" t="inlineStr">
        <is>
          <t>Value Metric bảo vệ được (Hybrid/Outcome)</t>
        </is>
      </c>
    </row>
    <row r="19">
      <c r="A19" s="11" t="inlineStr">
        <is>
          <t>Tab 4</t>
        </is>
      </c>
      <c r="B19" s="12" t="inlineStr">
        <is>
          <t>4_Channel_Fit</t>
        </is>
      </c>
      <c r="C19" s="7" t="inlineStr">
        <is>
          <t>Tính Ngân sách CAC, Deal/AE capacity, Channel Affordability Test, chọn 1 kênh GTM</t>
        </is>
      </c>
      <c r="D19" s="7" t="inlineStr">
        <is>
          <t>Kênh Partner-Led (Pancake/Haravan) + CAC Budget ($2,592)</t>
        </is>
      </c>
    </row>
    <row r="20">
      <c r="A20" s="11" t="inlineStr">
        <is>
          <t>Tab 5</t>
        </is>
      </c>
      <c r="B20" s="12" t="inlineStr">
        <is>
          <t>5_90Day_Plan</t>
        </is>
      </c>
      <c r="C20" s="7" t="inlineStr">
        <is>
          <t>Xác định Pain Moment 3 phần, Điểm nhúng zero-friction, Kế hoạch 90 ngày &amp; Evidence Pack</t>
        </is>
      </c>
      <c r="D20" s="7" t="inlineStr">
        <is>
          <t>Pain Moment, 90-Day Plan, 3 Tài sản Evidence Pack</t>
        </is>
      </c>
    </row>
    <row r="21">
      <c r="A21" s="11" t="inlineStr">
        <is>
          <t>Tab 6</t>
        </is>
      </c>
      <c r="B21" s="12" t="inlineStr">
        <is>
          <t>6_Benchmarks</t>
        </is>
      </c>
      <c r="C21" s="7" t="inlineStr">
        <is>
          <t>Bảng giá tham chiếu API chính thức và Benchmark tài chính B2B SaaS/AI từ Bessemer, ICONIQ</t>
        </is>
      </c>
      <c r="D21" s="7" t="inlineStr">
        <is>
          <t>Nguồn dữ liệu đối soát chuẩn mực</t>
        </is>
      </c>
    </row>
  </sheetData>
  <mergeCells count="2">
    <mergeCell ref="A5:D5"/>
    <mergeCell ref="A13:D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8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24" customWidth="1" min="2" max="2"/>
    <col width="16" customWidth="1" min="3" max="3"/>
    <col width="46" customWidth="1" min="4" max="4"/>
    <col width="42" customWidth="1" min="5" max="5"/>
  </cols>
  <sheetData>
    <row r="1">
      <c r="A1" s="1" t="inlineStr">
        <is>
          <t>TAB 1: TÍNH TOÁN COST/JOB ĐẦY ĐỦ 5 THÀNH PHẦN (UNIT ECONOMICS MODEL)</t>
        </is>
      </c>
    </row>
    <row r="2">
      <c r="A2" s="2" t="inlineStr">
        <is>
          <t>Sản phẩm: AutoSupport AI | Job: Tự động giải quyết dứt điểm ticket CSKH đa kênh (E-commerce / D2C SME)</t>
        </is>
      </c>
    </row>
    <row r="4">
      <c r="A4" s="4" t="inlineStr">
        <is>
          <t>SECTION 1: ĐỊNH NGHĨA JOB &amp; ĐÓNG GÓI SẢN PHẨM</t>
        </is>
      </c>
    </row>
    <row r="5">
      <c r="A5" s="12" t="inlineStr">
        <is>
          <t>Tên sản phẩm AI</t>
        </is>
      </c>
      <c r="B5" s="13" t="inlineStr">
        <is>
          <t>AutoSupport AI - Autonomous Customer Support Resolution Agent</t>
        </is>
      </c>
      <c r="C5" s="14" t="n"/>
      <c r="D5" s="14" t="n"/>
      <c r="E5" s="15" t="n"/>
    </row>
    <row r="6">
      <c r="A6" s="12" t="inlineStr">
        <is>
          <t>Câu mô tả sản phẩm (Bản A - Tool)</t>
        </is>
      </c>
      <c r="B6" s="13" t="inlineStr">
        <is>
          <t>Công cụ AI Copilot hỗ trợ nhân viên CSKH tra cứu và soạn câu trả lời nhanh.</t>
        </is>
      </c>
      <c r="C6" s="14" t="n"/>
      <c r="D6" s="14" t="n"/>
      <c r="E6" s="15" t="n"/>
    </row>
    <row r="7">
      <c r="A7" s="12" t="inlineStr">
        <is>
          <t>Câu mô tả sản phẩm (Bản B - Job)</t>
        </is>
      </c>
      <c r="B7" s="13" t="inlineStr">
        <is>
          <t>Agent AI tự động tiếp nhận, tra cứu chính sách/vận đơn và giải quyết dứt điểm ticket CSKH ca đêm mà không cần nhân sự trực ca.</t>
        </is>
      </c>
      <c r="C7" s="14" t="n"/>
      <c r="D7" s="14" t="n"/>
      <c r="E7" s="15" t="n"/>
    </row>
    <row r="8">
      <c r="A8" s="12" t="inlineStr">
        <is>
          <t>Phiên bản lựa chọn &amp; Ngân sách</t>
        </is>
      </c>
      <c r="B8" s="13" t="inlineStr">
        <is>
          <t>Chọn Phiên bản B: Đánh trực tiếp vào Ngân sách Vận hành / Nhân sự trực ca (Ops Headcount Budget) - Ngân sách lớn và quyết nhanh.</t>
        </is>
      </c>
      <c r="C8" s="14" t="n"/>
      <c r="D8" s="14" t="n"/>
      <c r="E8" s="15" t="n"/>
    </row>
    <row r="9">
      <c r="A9" s="12" t="inlineStr">
        <is>
          <t>Định nghĩa 1 Job HOÀN THÀNH</t>
        </is>
      </c>
      <c r="B9" s="13" t="inlineStr">
        <is>
          <t>1 ticket CSKH được giải quyết dứt điểm: Khách hàng xác nhận vấn đề đã xong hoặc không phản hồi lại sau 24h, và không bị escalate sang người.</t>
        </is>
      </c>
      <c r="C9" s="14" t="n"/>
      <c r="D9" s="14" t="n"/>
      <c r="E9" s="15" t="n"/>
    </row>
    <row r="10">
      <c r="A10" s="12" t="inlineStr">
        <is>
          <t>Phân loại trách nhiệm HITL</t>
        </is>
      </c>
      <c r="B10" s="13" t="inlineStr">
        <is>
          <t>Biến thể B (Managed Outcome - AI gánh vác xử lý cam kết trọn gói, có tính chi phí nhân sự escalation vào COGS)</t>
        </is>
      </c>
      <c r="C10" s="14" t="n"/>
      <c r="D10" s="14" t="n"/>
      <c r="E10" s="15" t="n"/>
    </row>
    <row r="12">
      <c r="A12" s="4" t="inlineStr">
        <is>
          <t>SECTION 2: KHỐI LƯỢNG VẬN HÀNH &amp; CONTAINMENT RATE (THÁNG)</t>
        </is>
      </c>
    </row>
    <row r="13">
      <c r="A13" s="5" t="inlineStr">
        <is>
          <t>Khoản mục</t>
        </is>
      </c>
      <c r="B13" s="5" t="inlineStr">
        <is>
          <t>Giá trị</t>
        </is>
      </c>
      <c r="C13" s="5" t="inlineStr">
        <is>
          <t>Đơn vị</t>
        </is>
      </c>
      <c r="D13" s="5" t="inlineStr">
        <is>
          <t>Công thức / Nguồn cơ sở</t>
        </is>
      </c>
      <c r="E13" s="5" t="inlineStr">
        <is>
          <t>Ghi chú</t>
        </is>
      </c>
    </row>
    <row r="14">
      <c r="A14" s="16" t="inlineStr">
        <is>
          <t>Tổng số ticket tiếp nhận (Jobs Attempted)</t>
        </is>
      </c>
      <c r="B14" s="17" t="n">
        <v>2000</v>
      </c>
      <c r="C14" s="16" t="inlineStr">
        <is>
          <t>tickets/tháng</t>
        </is>
      </c>
      <c r="D14" s="18" t="inlineStr">
        <is>
          <t>Giả định quy mô 1 shop E-commerce SMB</t>
        </is>
      </c>
      <c r="E14" s="19" t="inlineStr">
        <is>
          <t>Input biến số quy mô</t>
        </is>
      </c>
    </row>
    <row r="15">
      <c r="A15" s="16" t="inlineStr">
        <is>
          <t>Tỷ lệ AI tự xử lý thành công (Containment Rate)</t>
        </is>
      </c>
      <c r="B15" s="20" t="n">
        <v>0.82</v>
      </c>
      <c r="C15" s="16" t="inlineStr">
        <is>
          <t>%</t>
        </is>
      </c>
      <c r="D15" s="18" t="inlineStr">
        <is>
          <t>Benchmark Intercom Fin 82% / Kết quả Eval</t>
        </is>
      </c>
      <c r="E15" s="19" t="inlineStr">
        <is>
          <t>Biến sinh tử của bài toán</t>
        </is>
      </c>
    </row>
    <row r="16">
      <c r="A16" s="12" t="inlineStr">
        <is>
          <t>Số Job AI HOÀN THÀNH (Jobs Completed - Mẫu số thật)</t>
        </is>
      </c>
      <c r="B16" s="21">
        <f>B14*B15</f>
        <v/>
      </c>
      <c r="C16" s="16" t="inlineStr">
        <is>
          <t>jobs/tháng</t>
        </is>
      </c>
      <c r="D16" s="18">
        <f> B14 * B15</f>
        <v/>
      </c>
      <c r="E16" s="19" t="inlineStr">
        <is>
          <t>MẪU SỐ BẮT BUỘC ĐỂ CHIA COST/JOB</t>
        </is>
      </c>
    </row>
    <row r="17">
      <c r="A17" s="16" t="inlineStr">
        <is>
          <t>Số ticket chuyển sang người (Escalations)</t>
        </is>
      </c>
      <c r="B17" s="22">
        <f>B14*(1-B15)</f>
        <v/>
      </c>
      <c r="C17" s="16" t="inlineStr">
        <is>
          <t>tickets/tháng</t>
        </is>
      </c>
      <c r="D17" s="18">
        <f> B14 * (1 - B15)</f>
        <v/>
      </c>
      <c r="E17" s="19" t="inlineStr">
        <is>
          <t>Cần người giải quyết</t>
        </is>
      </c>
    </row>
    <row r="19">
      <c r="A19" s="4" t="inlineStr">
        <is>
          <t>SECTION 3: CHI PHÍ LLM API (CÓ PROMPT CACHING &amp; FRESH TOKENS)</t>
        </is>
      </c>
    </row>
    <row r="20">
      <c r="A20" s="5" t="inlineStr">
        <is>
          <t>Khoản mục</t>
        </is>
      </c>
      <c r="B20" s="5" t="inlineStr">
        <is>
          <t>Giá trị</t>
        </is>
      </c>
      <c r="C20" s="5" t="inlineStr">
        <is>
          <t>Đơn vị</t>
        </is>
      </c>
      <c r="D20" s="5" t="inlineStr">
        <is>
          <t>Công thức / Nguồn cơ sở</t>
        </is>
      </c>
      <c r="E20" s="5" t="inlineStr">
        <is>
          <t>Ghi chú</t>
        </is>
      </c>
    </row>
    <row r="21">
      <c r="A21" s="16" t="inlineStr">
        <is>
          <t>Mô hình LLM chính sử dụng</t>
        </is>
      </c>
      <c r="B21" s="23" t="inlineStr">
        <is>
          <t>Anthropic Claude 3.5 Haiku (hoặc Gemini 3.7 Flash)</t>
        </is>
      </c>
      <c r="C21" s="16" t="inlineStr">
        <is>
          <t>text</t>
        </is>
      </c>
      <c r="D21" s="18" t="inlineStr">
        <is>
          <t>Anthropic Pricing 26/08/2026</t>
        </is>
      </c>
      <c r="E21" s="19" t="inlineStr">
        <is>
          <t>Model tối ưu speed/cost</t>
        </is>
      </c>
    </row>
    <row r="22">
      <c r="A22" s="16" t="inlineStr">
        <is>
          <t>Giá Fresh Input per 1M tokens</t>
        </is>
      </c>
      <c r="B22" s="24" t="n">
        <v>1</v>
      </c>
      <c r="C22" s="16" t="inlineStr">
        <is>
          <t>$/1M</t>
        </is>
      </c>
      <c r="D22" s="18" t="inlineStr">
        <is>
          <t>Anthropic List Pricing</t>
        </is>
      </c>
      <c r="E22" s="19" t="inlineStr">
        <is>
          <t>Giá niêm yết</t>
        </is>
      </c>
    </row>
    <row r="23">
      <c r="A23" s="16" t="inlineStr">
        <is>
          <t>Giá Output per 1M tokens</t>
        </is>
      </c>
      <c r="B23" s="24" t="n">
        <v>5</v>
      </c>
      <c r="C23" s="16" t="inlineStr">
        <is>
          <t>$/1M</t>
        </is>
      </c>
      <c r="D23" s="18" t="inlineStr">
        <is>
          <t>Anthropic List Pricing</t>
        </is>
      </c>
      <c r="E23" s="19" t="inlineStr">
        <is>
          <t>Giá niêm yết</t>
        </is>
      </c>
    </row>
    <row r="24">
      <c r="A24" s="16" t="inlineStr">
        <is>
          <t>Giá Prompt Cache Write per 1M tokens</t>
        </is>
      </c>
      <c r="B24" s="24" t="n">
        <v>1.25</v>
      </c>
      <c r="C24" s="16" t="inlineStr">
        <is>
          <t>$/1M</t>
        </is>
      </c>
      <c r="D24" s="18" t="inlineStr">
        <is>
          <t>1.25x Input Price (Anthropic)</t>
        </is>
      </c>
      <c r="E24" s="19" t="inlineStr">
        <is>
          <t>Ghi vào cache lượt đầu</t>
        </is>
      </c>
    </row>
    <row r="25">
      <c r="A25" s="16" t="inlineStr">
        <is>
          <t>Giá Prompt Cache Read per 1M tokens</t>
        </is>
      </c>
      <c r="B25" s="24" t="n">
        <v>0.1</v>
      </c>
      <c r="C25" s="16" t="inlineStr">
        <is>
          <t>$/1M</t>
        </is>
      </c>
      <c r="D25" s="18" t="inlineStr">
        <is>
          <t>0.10x Input Price (Anthropic)</t>
        </is>
      </c>
      <c r="E25" s="19" t="inlineStr">
        <is>
          <t>Đọc từ cache các lượt sau</t>
        </is>
      </c>
    </row>
    <row r="26">
      <c r="A26" s="16" t="inlineStr">
        <is>
          <t>Số lượt hội thoại (turns) trung bình / ticket</t>
        </is>
      </c>
      <c r="B26" s="25" t="n">
        <v>6</v>
      </c>
      <c r="C26" s="16" t="inlineStr">
        <is>
          <t>turns</t>
        </is>
      </c>
      <c r="D26" s="18" t="inlineStr">
        <is>
          <t>Thống kê thực tế CSKH</t>
        </is>
      </c>
      <c r="E26" s="19" t="inlineStr">
        <is>
          <t>6 lượt qua lại bot - khách</t>
        </is>
      </c>
    </row>
    <row r="27">
      <c r="A27" s="16" t="inlineStr">
        <is>
          <t>System Prompt + Knowledge Base (Cache được)</t>
        </is>
      </c>
      <c r="B27" s="25" t="n">
        <v>3000</v>
      </c>
      <c r="C27" s="16" t="inlineStr">
        <is>
          <t>tokens</t>
        </is>
      </c>
      <c r="D27" s="18" t="inlineStr">
        <is>
          <t>System prompt + FAQ/Catalog</t>
        </is>
      </c>
      <c r="E27" s="19" t="inlineStr">
        <is>
          <t>Được cache từ turn 2</t>
        </is>
      </c>
    </row>
    <row r="28">
      <c r="A28" s="16" t="inlineStr">
        <is>
          <t>Fresh Input token / lượt hội thoại</t>
        </is>
      </c>
      <c r="B28" s="25" t="n">
        <v>500</v>
      </c>
      <c r="C28" s="16" t="inlineStr">
        <is>
          <t>tokens/turn</t>
        </is>
      </c>
      <c r="D28" s="18" t="inlineStr">
        <is>
          <t>User message + context mới</t>
        </is>
      </c>
      <c r="E28" s="19" t="inlineStr">
        <is>
          <t>500 tokens x 6 turns</t>
        </is>
      </c>
    </row>
    <row r="29">
      <c r="A29" s="16" t="inlineStr">
        <is>
          <t>Output token / lượt hội thoại</t>
        </is>
      </c>
      <c r="B29" s="25" t="n">
        <v>150</v>
      </c>
      <c r="C29" s="16" t="inlineStr">
        <is>
          <t>tokens/turn</t>
        </is>
      </c>
      <c r="D29" s="18" t="inlineStr">
        <is>
          <t>Bot response</t>
        </is>
      </c>
      <c r="E29" s="19" t="inlineStr">
        <is>
          <t>150 tokens x 6 turns</t>
        </is>
      </c>
    </row>
    <row r="30">
      <c r="A30" s="16" t="inlineStr">
        <is>
          <t>Chi phí Cache Write (1 lần / ticket)</t>
        </is>
      </c>
      <c r="B30" s="26">
        <f>B27*B24/1000000</f>
        <v/>
      </c>
      <c r="C30" s="16" t="inlineStr">
        <is>
          <t>$/ticket</t>
        </is>
      </c>
      <c r="D30" s="18">
        <f> B27 * B24 / 1M</f>
        <v/>
      </c>
      <c r="E30" s="19" t="inlineStr">
        <is>
          <t>Lượt đầu tiên ghi cache</t>
        </is>
      </c>
    </row>
    <row r="31">
      <c r="A31" s="16" t="inlineStr">
        <is>
          <t>Chi phí Cache Read ((turns - 1) lần / ticket)</t>
        </is>
      </c>
      <c r="B31" s="26">
        <f>(B26-1)*B27*B25/1000000</f>
        <v/>
      </c>
      <c r="C31" s="16" t="inlineStr">
        <is>
          <t>$/ticket</t>
        </is>
      </c>
      <c r="D31" s="18">
        <f> (B26 - 1) * B27 * B25 / 1M</f>
        <v/>
      </c>
      <c r="E31" s="19" t="inlineStr">
        <is>
          <t>5 lượt sau đọc từ cache</t>
        </is>
      </c>
    </row>
    <row r="32">
      <c r="A32" s="16" t="inlineStr">
        <is>
          <t>Chi phí Fresh Input (turns lần / ticket)</t>
        </is>
      </c>
      <c r="B32" s="26">
        <f>B26*B28*B22/1000000</f>
        <v/>
      </c>
      <c r="C32" s="16" t="inlineStr">
        <is>
          <t>$/ticket</t>
        </is>
      </c>
      <c r="D32" s="18">
        <f> B26 * B28 * B22 / 1M</f>
        <v/>
      </c>
      <c r="E32" s="19" t="inlineStr">
        <is>
          <t>Input tin nhắn mới</t>
        </is>
      </c>
    </row>
    <row r="33">
      <c r="A33" s="16" t="inlineStr">
        <is>
          <t>Chi phí Output (turns lần / ticket)</t>
        </is>
      </c>
      <c r="B33" s="26">
        <f>B26*B29*B23/1000000</f>
        <v/>
      </c>
      <c r="C33" s="16" t="inlineStr">
        <is>
          <t>$/ticket</t>
        </is>
      </c>
      <c r="D33" s="18">
        <f> B26 * B29 * B23 / 1M</f>
        <v/>
      </c>
      <c r="E33" s="19" t="inlineStr">
        <is>
          <t>Output trả về của bot</t>
        </is>
      </c>
    </row>
    <row r="34">
      <c r="A34" s="16" t="inlineStr">
        <is>
          <t>Tổng chi phí LLM / ticket (CÓ CACHE)</t>
        </is>
      </c>
      <c r="B34" s="27">
        <f>SUM(B30:B33)</f>
        <v/>
      </c>
      <c r="C34" s="16" t="inlineStr">
        <is>
          <t>$/ticket</t>
        </is>
      </c>
      <c r="D34" s="18">
        <f> B30 + B31 + B32 + B33</f>
        <v/>
      </c>
      <c r="E34" s="19" t="inlineStr">
        <is>
          <t>Chi phí tối ưu thực tế</t>
        </is>
      </c>
    </row>
    <row r="35">
      <c r="A35" s="16" t="inlineStr">
        <is>
          <t>Tổng chi phí LLM / ticket (NẾU KHÔNG CACHE)</t>
        </is>
      </c>
      <c r="B35" s="26">
        <f>(B26*(B27+B28)*B22 + B26*B29*B23)/1000000</f>
        <v/>
      </c>
      <c r="C35" s="16" t="inlineStr">
        <is>
          <t>$/ticket</t>
        </is>
      </c>
      <c r="D35" s="18">
        <f> (Turns*(Cache+Fresh)*Input + Turns*Out*Output)/1M</f>
        <v/>
      </c>
      <c r="E35" s="19" t="inlineStr">
        <is>
          <t>Chi phí nếu không cache</t>
        </is>
      </c>
    </row>
    <row r="36">
      <c r="A36" s="12" t="inlineStr">
        <is>
          <t>% Tiết kiệm nhờ Prompt Caching</t>
        </is>
      </c>
      <c r="B36" s="28">
        <f>(B35-B34)/B35</f>
        <v/>
      </c>
      <c r="C36" s="16" t="inlineStr">
        <is>
          <t>%</t>
        </is>
      </c>
      <c r="D36" s="18">
        <f> (B35 - B34) / B35</f>
        <v/>
      </c>
      <c r="E36" s="19" t="inlineStr">
        <is>
          <t>Tiết kiệm rõ rệt 38% - 50%</t>
        </is>
      </c>
    </row>
    <row r="37">
      <c r="A37" s="12" t="inlineStr">
        <is>
          <t>TỔNG CHI PHÍ LLM API / THÁNG (2,000 tickets)</t>
        </is>
      </c>
      <c r="B37" s="29">
        <f>B14*B34</f>
        <v/>
      </c>
      <c r="C37" s="16" t="inlineStr">
        <is>
          <t>$/tháng</t>
        </is>
      </c>
      <c r="D37" s="18">
        <f> B14 * B34</f>
        <v/>
      </c>
      <c r="E37" s="19" t="inlineStr">
        <is>
          <t>Chi phí LLM toàn bộ tháng</t>
        </is>
      </c>
    </row>
    <row r="39">
      <c r="A39" s="4" t="inlineStr">
        <is>
          <t>SECTION 4: CHI PHÍ THOẠI SPEECH (STT / TTS) - NẾU CÓ</t>
        </is>
      </c>
    </row>
    <row r="40">
      <c r="A40" s="16" t="inlineStr">
        <is>
          <t>Sản phẩm là Text Chat Agent thuần túy (Không dùng Voice)</t>
        </is>
      </c>
      <c r="B40" s="30" t="n">
        <v>0</v>
      </c>
      <c r="C40" s="16" t="inlineStr">
        <is>
          <t>$/tháng</t>
        </is>
      </c>
      <c r="D40" s="18" t="inlineStr">
        <is>
          <t>Text-based Chat (Messenger, Zalo, Web)</t>
        </is>
      </c>
      <c r="E40" s="19" t="inlineStr">
        <is>
          <t>Không phát sinh STT/TTS</t>
        </is>
      </c>
    </row>
    <row r="42">
      <c r="A42" s="4" t="inlineStr">
        <is>
          <t>SECTION 5: CHI PHÍ HẠ TẦNG, VECTOR DB &amp; LOGGING (INFRASTRUCTURE)</t>
        </is>
      </c>
    </row>
    <row r="43">
      <c r="A43" s="16" t="inlineStr">
        <is>
          <t>Vector DB (Qdrant / Pinecone Serverless)</t>
        </is>
      </c>
      <c r="B43" s="31" t="n">
        <v>0.003</v>
      </c>
      <c r="C43" s="16" t="inlineStr">
        <is>
          <t>$/ticket</t>
        </is>
      </c>
      <c r="D43" s="18" t="inlineStr">
        <is>
          <t>Pinecone pricing $0.003/query+embedding</t>
        </is>
      </c>
      <c r="E43" s="19" t="inlineStr">
        <is>
          <t>Tra cứu semantic chính sách &amp; FAQ</t>
        </is>
      </c>
    </row>
    <row r="44">
      <c r="A44" s="16" t="inlineStr">
        <is>
          <t>Logging, Tracing &amp; Evals (LangSmith / OpenTelemetry)</t>
        </is>
      </c>
      <c r="B44" s="31" t="n">
        <v>0.0015</v>
      </c>
      <c r="C44" s="16" t="inlineStr">
        <is>
          <t>$/ticket</t>
        </is>
      </c>
      <c r="D44" s="18" t="inlineStr">
        <is>
          <t>LangSmith $0.0015/trace</t>
        </is>
      </c>
      <c r="E44" s="19" t="inlineStr">
        <is>
          <t>Lưu log &amp; tracking audit trail</t>
        </is>
      </c>
    </row>
    <row r="45">
      <c r="A45" s="16" t="inlineStr">
        <is>
          <t>Cloud Server, Egress &amp; Webhook Execution</t>
        </is>
      </c>
      <c r="B45" s="31" t="n">
        <v>0.0015</v>
      </c>
      <c r="C45" s="16" t="inlineStr">
        <is>
          <t>$/ticket</t>
        </is>
      </c>
      <c r="D45" s="18" t="inlineStr">
        <is>
          <t>AWS Lambda / Fly.io execution</t>
        </is>
      </c>
      <c r="E45" s="19" t="inlineStr">
        <is>
          <t>Xử lý webhook &amp; API ERP/CRM</t>
        </is>
      </c>
    </row>
    <row r="46">
      <c r="A46" s="16" t="inlineStr">
        <is>
          <t>Tổng chi phí Hạ tầng / ticket</t>
        </is>
      </c>
      <c r="B46" s="27">
        <f>SUM(B43:B45)</f>
        <v/>
      </c>
      <c r="C46" s="16" t="inlineStr">
        <is>
          <t>$/ticket</t>
        </is>
      </c>
      <c r="D46" s="18">
        <f> B43 + B44 + B45</f>
        <v/>
      </c>
      <c r="E46" s="19" t="inlineStr">
        <is>
          <t>Tổng Infra trên 1 ticket</t>
        </is>
      </c>
    </row>
    <row r="47">
      <c r="A47" s="12" t="inlineStr">
        <is>
          <t>TỔNG CHI PHÍ INFRA / THÁNG (2,000 tickets)</t>
        </is>
      </c>
      <c r="B47" s="29">
        <f>B14*B46</f>
        <v/>
      </c>
      <c r="C47" s="16" t="inlineStr">
        <is>
          <t>$/tháng</t>
        </is>
      </c>
      <c r="D47" s="18">
        <f> B14 * B46</f>
        <v/>
      </c>
      <c r="E47" s="19" t="inlineStr">
        <is>
          <t>Tổng Infra toàn bộ tháng</t>
        </is>
      </c>
    </row>
    <row r="49">
      <c r="A49" s="4" t="inlineStr">
        <is>
          <t>SECTION 6: CHI PHÍ RETRY DO TIMEOUT &amp; LỖI API (RETRY COST)</t>
        </is>
      </c>
    </row>
    <row r="50">
      <c r="A50" s="16" t="inlineStr">
        <is>
          <t>Tỷ lệ Retry dự phòng (% job bị lỗi/timeout phải gọi lại)</t>
        </is>
      </c>
      <c r="B50" s="20" t="n">
        <v>0.08</v>
      </c>
      <c r="C50" s="16" t="inlineStr">
        <is>
          <t>%</t>
        </is>
      </c>
      <c r="D50" s="18" t="inlineStr">
        <is>
          <t>Benchmark thực tế 5% - 10%</t>
        </is>
      </c>
      <c r="E50" s="19" t="inlineStr">
        <is>
          <t>Không được để 0%</t>
        </is>
      </c>
    </row>
    <row r="51">
      <c r="A51" s="12" t="inlineStr">
        <is>
          <t>TỔNG CHI PHÍ RETRY / THÁNG</t>
        </is>
      </c>
      <c r="B51" s="29">
        <f>B37*B50</f>
        <v/>
      </c>
      <c r="C51" s="16" t="inlineStr">
        <is>
          <t>$/tháng</t>
        </is>
      </c>
      <c r="D51" s="18">
        <f> B37 * B50 (8% của Tổng LLM API)</f>
        <v/>
      </c>
      <c r="E51" s="19" t="inlineStr">
        <is>
          <t>Chi phí token phát sinh thêm</t>
        </is>
      </c>
    </row>
    <row r="53">
      <c r="A53" s="4" t="inlineStr">
        <is>
          <t>SECTION 7: CHI PHÍ NHÂN SỰ KIỂM SOÁT &amp; XỬ LÝ (HITL COST)</t>
        </is>
      </c>
    </row>
    <row r="54">
      <c r="A54" s="12" t="inlineStr">
        <is>
          <t>--- THÀNH PHẦN 1: QA NỘI BỘ (ÁP DỤNG MỌI MÔ HÌNH) ---</t>
        </is>
      </c>
      <c r="B54" s="32" t="inlineStr"/>
      <c r="C54" s="16" t="inlineStr"/>
      <c r="D54" s="18" t="inlineStr"/>
      <c r="E54" s="19" t="inlineStr"/>
    </row>
    <row r="55">
      <c r="A55" s="16" t="inlineStr">
        <is>
          <t>Tỷ lệ ticket chọn audit QA ngẫu nhiên (% QA sampling)</t>
        </is>
      </c>
      <c r="B55" s="33" t="n">
        <v>0.05</v>
      </c>
      <c r="C55" s="16" t="inlineStr">
        <is>
          <t>%</t>
        </is>
      </c>
      <c r="D55" s="18" t="inlineStr">
        <is>
          <t>Giả định audit 5% tổng volume</t>
        </is>
      </c>
      <c r="E55" s="19" t="inlineStr">
        <is>
          <t>Đảm bảo chất lượng &amp; eval</t>
        </is>
      </c>
    </row>
    <row r="56">
      <c r="A56" s="16" t="inlineStr">
        <is>
          <t>Thời gian nhân sự QA audit 1 ticket</t>
        </is>
      </c>
      <c r="B56" s="34" t="n">
        <v>2</v>
      </c>
      <c r="C56" s="16" t="inlineStr">
        <is>
          <t>phút/ticket</t>
        </is>
      </c>
      <c r="D56" s="18" t="inlineStr">
        <is>
          <t>Đọc log &amp; chấm điểm prompt</t>
        </is>
      </c>
      <c r="E56" s="19" t="inlineStr">
        <is>
          <t>2 phút = 0.0333 giờ</t>
        </is>
      </c>
    </row>
    <row r="57">
      <c r="A57" s="16" t="inlineStr">
        <is>
          <t>Đơn giá nhân sự QA nội bộ ($/giờ)</t>
        </is>
      </c>
      <c r="B57" s="24" t="n">
        <v>6</v>
      </c>
      <c r="C57" s="16" t="inlineStr">
        <is>
          <t>$/giờ</t>
        </is>
      </c>
      <c r="D57" s="18" t="inlineStr">
        <is>
          <t>Lương 156,000 VND/giờ</t>
        </is>
      </c>
      <c r="E57" s="19" t="inlineStr">
        <is>
          <t>Lương CS Lead / QA Specialist</t>
        </is>
      </c>
    </row>
    <row r="58">
      <c r="A58" s="16" t="inlineStr">
        <is>
          <t>Chi phí QA nội bộ / tháng</t>
        </is>
      </c>
      <c r="B58" s="30">
        <f>B14*B55*(B56/60)*B57</f>
        <v/>
      </c>
      <c r="C58" s="16" t="inlineStr">
        <is>
          <t>$/tháng</t>
        </is>
      </c>
      <c r="D58" s="18">
        <f> B14 * B55 * (B56/60) * B57</f>
        <v/>
      </c>
      <c r="E58" s="19" t="inlineStr">
        <is>
          <t>Chi phí QA kiểm định chất lượng</t>
        </is>
      </c>
    </row>
    <row r="59">
      <c r="A59" s="12" t="inlineStr">
        <is>
          <t>--- THÀNH PHẦN 2: XỬ LÝ ESCALATION (CHỈ BIẾN THỂ B) ---</t>
        </is>
      </c>
      <c r="B59" s="32" t="inlineStr"/>
      <c r="C59" s="16" t="inlineStr"/>
      <c r="D59" s="18" t="inlineStr"/>
      <c r="E59" s="19" t="inlineStr"/>
    </row>
    <row r="60">
      <c r="A60" s="16" t="inlineStr">
        <is>
          <t>Thời gian nhân sự xử lý 1 ca escalate</t>
        </is>
      </c>
      <c r="B60" s="34" t="n">
        <v>6</v>
      </c>
      <c r="C60" s="16" t="inlineStr">
        <is>
          <t>phút/ca</t>
        </is>
      </c>
      <c r="D60" s="18" t="inlineStr">
        <is>
          <t>Nhân sự tiếp nhận &amp; xử lý dứt điểm</t>
        </is>
      </c>
      <c r="E60" s="19" t="inlineStr">
        <is>
          <t>6 phút = 0.10 giờ</t>
        </is>
      </c>
    </row>
    <row r="61">
      <c r="A61" s="16" t="inlineStr">
        <is>
          <t>Đơn giá nhân sự xử lý escalation ($/giờ)</t>
        </is>
      </c>
      <c r="B61" s="24" t="n">
        <v>6</v>
      </c>
      <c r="C61" s="16" t="inlineStr">
        <is>
          <t>$/giờ</t>
        </is>
      </c>
      <c r="D61" s="18" t="inlineStr">
        <is>
          <t>Lương 156,000 VND/giờ</t>
        </is>
      </c>
      <c r="E61" s="19" t="inlineStr">
        <is>
          <t>Lương CS Agent vận hành</t>
        </is>
      </c>
    </row>
    <row r="62">
      <c r="A62" s="16" t="inlineStr">
        <is>
          <t>Chi phí Escalation / tháng (360 ca chuyển người)</t>
        </is>
      </c>
      <c r="B62" s="30">
        <f>B17*(B60/60)*B61</f>
        <v/>
      </c>
      <c r="C62" s="16" t="inlineStr">
        <is>
          <t>$/tháng</t>
        </is>
      </c>
      <c r="D62" s="18">
        <f> B17 * (B60/60) * B61</f>
        <v/>
      </c>
      <c r="E62" s="19" t="inlineStr">
        <is>
          <t>Chi phí xử lý ca AI làm không xong</t>
        </is>
      </c>
    </row>
    <row r="63">
      <c r="A63" s="12" t="inlineStr">
        <is>
          <t>TỔNG HITL BIẾN THỂ A (Khách tự xử lý escalate, bạn chỉ QA)</t>
        </is>
      </c>
      <c r="B63" s="29">
        <f>B58</f>
        <v/>
      </c>
      <c r="C63" s="16" t="inlineStr">
        <is>
          <t>$/tháng</t>
        </is>
      </c>
      <c r="D63" s="18">
        <f> B58</f>
        <v/>
      </c>
      <c r="E63" s="19" t="inlineStr">
        <is>
          <t>COGS nếu là nhà bán SaaS</t>
        </is>
      </c>
    </row>
    <row r="64">
      <c r="A64" s="12" t="inlineStr">
        <is>
          <t>TỔNG HITL BIẾN THỂ B (Bạn chịu trách nhiệm xử lý trọn gói)</t>
        </is>
      </c>
      <c r="B64" s="29">
        <f>B58+B62</f>
        <v/>
      </c>
      <c r="C64" s="16" t="inlineStr">
        <is>
          <t>$/tháng</t>
        </is>
      </c>
      <c r="D64" s="18">
        <f> B58 + B62</f>
        <v/>
      </c>
      <c r="E64" s="19" t="inlineStr">
        <is>
          <t>COGS nếu bán Outcome / Managed</t>
        </is>
      </c>
    </row>
    <row r="66">
      <c r="A66" s="4" t="inlineStr">
        <is>
          <t>SECTION 8: CHI PHÍ VẬN HÀNH CHUNG &amp; PHÂN BỔ (OVERHEAD)</t>
        </is>
      </c>
    </row>
    <row r="67">
      <c r="A67" s="16" t="inlineStr">
        <is>
          <t>Chi phí R&amp;D, Platform Maintenance, Dev Ops phân bổ / tháng</t>
        </is>
      </c>
      <c r="B67" s="35" t="n">
        <v>50</v>
      </c>
      <c r="C67" s="16" t="inlineStr">
        <is>
          <t>$/tháng</t>
        </is>
      </c>
      <c r="D67" s="18" t="inlineStr">
        <is>
          <t>Phân bổ chi phí cố định cho account</t>
        </is>
      </c>
      <c r="E67" s="19" t="inlineStr">
        <is>
          <t>Phân bổ vận hành</t>
        </is>
      </c>
    </row>
    <row r="69">
      <c r="A69" s="36" t="inlineStr">
        <is>
          <t>TỔNG HỢP CHI PHÍ &amp; TÍNH TOÁN COST/JOB (KẾT QUẢ ĐẦU RA TAB 1)</t>
        </is>
      </c>
    </row>
    <row r="70">
      <c r="A70" s="12" t="inlineStr">
        <is>
          <t>Tổng Chi phí Tháng - BIẾN THỂ A (Khách tự escalate, không Overhead)</t>
        </is>
      </c>
      <c r="B70" s="30">
        <f>B37+B40+B47+B51+B63</f>
        <v/>
      </c>
      <c r="C70" s="16" t="inlineStr">
        <is>
          <t>$/tháng</t>
        </is>
      </c>
      <c r="D70" s="18">
        <f> LLM + Speech + Infra + Retry + HITL_A</f>
        <v/>
      </c>
      <c r="E70" s="19" t="inlineStr">
        <is>
          <t>Tổng COGS trực tiếp SaaS</t>
        </is>
      </c>
    </row>
    <row r="71">
      <c r="A71" s="12" t="inlineStr">
        <is>
          <t>Tổng Chi phí Tháng - BIẾN THỂ A (Có tính Overhead)</t>
        </is>
      </c>
      <c r="B71" s="37">
        <f>B70+B67</f>
        <v/>
      </c>
      <c r="C71" s="16" t="inlineStr">
        <is>
          <t>$/tháng</t>
        </is>
      </c>
      <c r="D71" s="18">
        <f> Chi phí trực tiếp + Overhead</f>
        <v/>
      </c>
      <c r="E71" s="19" t="inlineStr">
        <is>
          <t>COGS đầy đủ có phân bổ R&amp;D</t>
        </is>
      </c>
    </row>
    <row r="72">
      <c r="A72" s="12" t="inlineStr">
        <is>
          <t>Tổng Chi phí Tháng - BIẾN THỂ B (Bạn chịu escalation, không Overhead)</t>
        </is>
      </c>
      <c r="B72" s="30">
        <f>B37+B40+B47+B51+B64</f>
        <v/>
      </c>
      <c r="C72" s="16" t="inlineStr">
        <is>
          <t>$/tháng</t>
        </is>
      </c>
      <c r="D72" s="18">
        <f> LLM + Speech + Infra + Retry + HITL_B</f>
        <v/>
      </c>
      <c r="E72" s="19" t="inlineStr">
        <is>
          <t>Tổng COGS trực tiếp Outcome</t>
        </is>
      </c>
    </row>
    <row r="73">
      <c r="A73" s="12" t="inlineStr">
        <is>
          <t>Tổng Chi phí Tháng - BIẾN THỂ B (Có tính Overhead)</t>
        </is>
      </c>
      <c r="B73" s="37">
        <f>B72+B67</f>
        <v/>
      </c>
      <c r="C73" s="16" t="inlineStr">
        <is>
          <t>$/tháng</t>
        </is>
      </c>
      <c r="D73" s="18">
        <f> Chi phí trực tiếp + Overhead</f>
        <v/>
      </c>
      <c r="E73" s="19" t="inlineStr">
        <is>
          <t>COGS đầy đủ có phân bổ R&amp;D</t>
        </is>
      </c>
    </row>
    <row r="74">
      <c r="A74" s="16" t="inlineStr">
        <is>
          <t>---------------------------------------------------------------------------------</t>
        </is>
      </c>
      <c r="B74" s="32" t="inlineStr"/>
      <c r="C74" s="16" t="inlineStr"/>
      <c r="D74" s="18" t="inlineStr"/>
      <c r="E74" s="19" t="inlineStr"/>
    </row>
    <row r="75">
      <c r="A75" s="12" t="inlineStr">
        <is>
          <t>Số Job HOÀN THÀNH (MẪU SỐ THẬT)</t>
        </is>
      </c>
      <c r="B75" s="38">
        <f>B16</f>
        <v/>
      </c>
      <c r="C75" s="16" t="inlineStr">
        <is>
          <t>jobs</t>
        </is>
      </c>
      <c r="D75" s="18">
        <f> B16 (1,640 jobs hoàn thành)</f>
        <v/>
      </c>
      <c r="E75" s="19" t="inlineStr">
        <is>
          <t>Mẫu số chuẩn để chia đơn giá</t>
        </is>
      </c>
    </row>
    <row r="76">
      <c r="A76" s="12" t="inlineStr">
        <is>
          <t>COST / JOB HOÀN THÀNH - BIẾN THỂ A (SaaS thuần)</t>
        </is>
      </c>
      <c r="B76" s="39">
        <f>B70/B75</f>
        <v/>
      </c>
      <c r="C76" s="16" t="inlineStr">
        <is>
          <t>$/job</t>
        </is>
      </c>
      <c r="D76" s="18">
        <f> B70 / B75 ($59.54 / 1,640)</f>
        <v/>
      </c>
      <c r="E76" s="19" t="inlineStr">
        <is>
          <t>Cost/Job nếu khách tự gánh escalate</t>
        </is>
      </c>
    </row>
    <row r="77">
      <c r="A77" s="12" t="inlineStr">
        <is>
          <t>COST / JOB HOÀN THÀNH - BIẾN THỂ B (Managed Outcome)</t>
        </is>
      </c>
      <c r="B77" s="39">
        <f>B72/B75</f>
        <v/>
      </c>
      <c r="C77" s="16" t="inlineStr">
        <is>
          <t>$/job</t>
        </is>
      </c>
      <c r="D77" s="18">
        <f> B72 / B75 ($275.54 / 1,640)</f>
        <v/>
      </c>
      <c r="E77" s="19" t="inlineStr">
        <is>
          <t>Cost/Job bán Outcome cam kết trọn gói</t>
        </is>
      </c>
    </row>
    <row r="78">
      <c r="A78" s="16" t="inlineStr">
        <is>
          <t>Quy đổi Cost/Job Biến thể B sang VNĐ (tỷ giá 26,000)</t>
        </is>
      </c>
      <c r="B78" s="40">
        <f>B77*26000</f>
        <v/>
      </c>
      <c r="C78" s="16" t="inlineStr">
        <is>
          <t>VNĐ/job</t>
        </is>
      </c>
      <c r="D78" s="18">
        <f> B77 * 26,000 VND/USD</f>
        <v/>
      </c>
      <c r="E78" s="19" t="inlineStr">
        <is>
          <t>Tương đương khoảng 4,368 VNĐ / job</t>
        </is>
      </c>
    </row>
  </sheetData>
  <mergeCells count="15">
    <mergeCell ref="A39:E39"/>
    <mergeCell ref="A53:E53"/>
    <mergeCell ref="B9:E9"/>
    <mergeCell ref="A4:E4"/>
    <mergeCell ref="B8:E8"/>
    <mergeCell ref="A12:E12"/>
    <mergeCell ref="A69:E69"/>
    <mergeCell ref="A42:E42"/>
    <mergeCell ref="B6:E6"/>
    <mergeCell ref="A19:E19"/>
    <mergeCell ref="A49:E49"/>
    <mergeCell ref="B7:E7"/>
    <mergeCell ref="B5:E5"/>
    <mergeCell ref="A66:E66"/>
    <mergeCell ref="B10:E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3"/>
  <sheetViews>
    <sheetView showGridLines="1" workbookViewId="0">
      <selection activeCell="A1" sqref="A1"/>
    </sheetView>
  </sheetViews>
  <sheetFormatPr baseColWidth="8" defaultRowHeight="15"/>
  <cols>
    <col width="46" customWidth="1" min="1" max="1"/>
    <col width="22" customWidth="1" min="2" max="2"/>
    <col width="16" customWidth="1" min="3" max="3"/>
    <col width="48" customWidth="1" min="4" max="4"/>
    <col width="38" customWidth="1" min="5" max="5"/>
    <col width="26" customWidth="1" min="6" max="6"/>
    <col width="46" customWidth="1" min="7" max="7"/>
  </cols>
  <sheetData>
    <row r="1">
      <c r="A1" s="1" t="inlineStr">
        <is>
          <t>TAB 2: ĐỊNH GIÁ BÁN, GROSS MARGIN &amp; SENSITIVITY STRESS TEST</t>
        </is>
      </c>
    </row>
    <row r="2">
      <c r="A2" s="2" t="inlineStr">
        <is>
          <t>Xác định Giá sàn, Giá trần, Giá đề xuất và Kiểm tra ngưỡng sinh tử Breakeven Containment</t>
        </is>
      </c>
    </row>
    <row r="4">
      <c r="A4" s="4" t="inlineStr">
        <is>
          <t>1. XÁC LẬP VÙNG GIÁ BÁN: GIÁ SÀN (COST x 3) VÀ GIÁ TRẦN (ANCHORING)</t>
        </is>
      </c>
    </row>
    <row r="5">
      <c r="A5" s="5" t="inlineStr">
        <is>
          <t>Khoản mục</t>
        </is>
      </c>
      <c r="B5" s="5" t="inlineStr">
        <is>
          <t>Giá trị</t>
        </is>
      </c>
      <c r="C5" s="5" t="inlineStr">
        <is>
          <t>Đơn vị</t>
        </is>
      </c>
      <c r="D5" s="5" t="inlineStr">
        <is>
          <t>Công thức / Nguồn cơ sở</t>
        </is>
      </c>
      <c r="E5" s="5" t="inlineStr">
        <is>
          <t>Ghi chú</t>
        </is>
      </c>
    </row>
    <row r="6">
      <c r="A6" s="12" t="inlineStr">
        <is>
          <t>Cost/Job cơ sở (Biến thể B - Managed Outcome)</t>
        </is>
      </c>
      <c r="B6" s="41">
        <f>'1_Cost_Job'!B77</f>
        <v/>
      </c>
      <c r="C6" s="16" t="inlineStr">
        <is>
          <t>$/job</t>
        </is>
      </c>
      <c r="D6" s="18" t="inlineStr">
        <is>
          <t>Lấy từ Tab 1 (='1_Cost_Job'!B77)</t>
        </is>
      </c>
      <c r="E6" s="19" t="inlineStr">
        <is>
          <t>Chi phí trực tiếp đầy đủ 5 thành phần</t>
        </is>
      </c>
    </row>
    <row r="7">
      <c r="A7" s="12" t="inlineStr">
        <is>
          <t>Giá SÀN tối thiểu (= 3 x Cost/Job)</t>
        </is>
      </c>
      <c r="B7" s="42">
        <f>B6*3</f>
        <v/>
      </c>
      <c r="C7" s="16" t="inlineStr">
        <is>
          <t>$/job</t>
        </is>
      </c>
      <c r="D7" s="18">
        <f> B6 * 3</f>
        <v/>
      </c>
      <c r="E7" s="19" t="inlineStr">
        <is>
          <t>Đảm bảo Gross Margin &gt;= 66.7% cover Overhead/R&amp;D</t>
        </is>
      </c>
    </row>
    <row r="8">
      <c r="A8" s="16" t="inlineStr">
        <is>
          <t>Neo giá trần 1: Theo giá trị tiết kiệm cho khách</t>
        </is>
      </c>
      <c r="B8" s="43" t="n">
        <v>0.75</v>
      </c>
      <c r="C8" s="16" t="inlineStr">
        <is>
          <t>$/job</t>
        </is>
      </c>
      <c r="D8" s="18" t="inlineStr">
        <is>
          <t>Tiết kiệm lương ca đêm ($400/tháng cho 1,640 jobs ~ $0.24/job, lấy 25-30% tổng ROI)</t>
        </is>
      </c>
      <c r="E8" s="19" t="inlineStr">
        <is>
          <t>Khách sẵn sàng chi khi thấy ROI 3x</t>
        </is>
      </c>
    </row>
    <row r="9">
      <c r="A9" s="16" t="inlineStr">
        <is>
          <t>Neo giá trần 2: Theo chi phí nhân sự con người</t>
        </is>
      </c>
      <c r="B9" s="43" t="n">
        <v>0.9</v>
      </c>
      <c r="C9" s="16" t="inlineStr">
        <is>
          <t>$/job</t>
        </is>
      </c>
      <c r="D9" s="18" t="inlineStr">
        <is>
          <t>Chi phí 1 ticket do người làm tại VN/SEA ≈ $0.60 - $0.90</t>
        </is>
      </c>
      <c r="E9" s="19" t="inlineStr">
        <is>
          <t>Tính theo 50-70% chi phí nhân sự</t>
        </is>
      </c>
    </row>
    <row r="10">
      <c r="A10" s="16" t="inlineStr">
        <is>
          <t>Benchmark đối thủ thị trường (Intercom Fin)</t>
        </is>
      </c>
      <c r="B10" s="43" t="n">
        <v>0.99</v>
      </c>
      <c r="C10" s="16" t="inlineStr">
        <is>
          <t>$/resolution</t>
        </is>
      </c>
      <c r="D10" s="18" t="inlineStr">
        <is>
          <t>Intercom Fin niêm yết $0.99/resolution</t>
        </is>
      </c>
      <c r="E10" s="19" t="inlineStr">
        <is>
          <t>Mức trần ngành toàn cầu</t>
        </is>
      </c>
    </row>
    <row r="11">
      <c r="A11" s="12" t="inlineStr">
        <is>
          <t>GIÁ BÁN ĐỀ XUẤT (PROPOSED PRICE)</t>
        </is>
      </c>
      <c r="B11" s="44" t="n">
        <v>0.6</v>
      </c>
      <c r="C11" s="16" t="inlineStr">
        <is>
          <t>$/resolution</t>
        </is>
      </c>
      <c r="D11" s="18" t="inlineStr">
        <is>
          <t>Nằm giữa Giá sàn ($0.504) và Giá trần ($0.75 - $0.99)</t>
        </is>
      </c>
      <c r="E11" s="19" t="inlineStr">
        <is>
          <t>Rất cạnh tranh với Intercom ($0.99) và Zendesk ($1.50)</t>
        </is>
      </c>
    </row>
    <row r="12">
      <c r="A12" s="16" t="inlineStr">
        <is>
          <t>Quy đổi Giá bán đề xuất sang VNĐ (tỷ giá 26,000)</t>
        </is>
      </c>
      <c r="B12" s="40">
        <f>B11*26000</f>
        <v/>
      </c>
      <c r="C12" s="16" t="inlineStr">
        <is>
          <t>VNĐ/job</t>
        </is>
      </c>
      <c r="D12" s="18">
        <f> B11 * 26,000</f>
        <v/>
      </c>
      <c r="E12" s="19" t="inlineStr">
        <is>
          <t>Khoảng 15,600 VNĐ / ticket hoàn thành</t>
        </is>
      </c>
    </row>
    <row r="13">
      <c r="A13" s="16" t="inlineStr">
        <is>
          <t>Gross Margin $ trên 1 Job hoàn thành</t>
        </is>
      </c>
      <c r="B13" s="45">
        <f>B11-B6</f>
        <v/>
      </c>
      <c r="C13" s="16" t="inlineStr">
        <is>
          <t>$/job</t>
        </is>
      </c>
      <c r="D13" s="18">
        <f> Giá bán (B11) - Cost/Job (B6)</f>
        <v/>
      </c>
      <c r="E13" s="19" t="inlineStr">
        <is>
          <t>Lợi nhuận gộp trên mỗi job hoàn thành</t>
        </is>
      </c>
    </row>
    <row r="14">
      <c r="A14" s="12" t="inlineStr">
        <is>
          <t>GROSS MARGIN % TẠI MỨC 82% CONTAINMENT</t>
        </is>
      </c>
      <c r="B14" s="28">
        <f>(B11-B6)/B11</f>
        <v/>
      </c>
      <c r="C14" s="16" t="inlineStr">
        <is>
          <t>%</t>
        </is>
      </c>
      <c r="D14" s="18">
        <f> (B11 - B6) / B11</f>
        <v/>
      </c>
      <c r="E14" s="19" t="inlineStr">
        <is>
          <t>MỤC TIÊU &gt;= 60% (Đạt chuẩn xuất sắc 72.0%)</t>
        </is>
      </c>
    </row>
    <row r="16">
      <c r="A16" s="4" t="inlineStr">
        <is>
          <t>2. BẢNG SENSITIVITY STRESS TEST: ĐỘ NHẠY THEO CONTAINMENT RATE</t>
        </is>
      </c>
    </row>
    <row r="17">
      <c r="A17" s="5" t="inlineStr">
        <is>
          <t>Tỷ lệ Containment %</t>
        </is>
      </c>
      <c r="B17" s="5" t="inlineStr">
        <is>
          <t>Số Job Hoàn thành</t>
        </is>
      </c>
      <c r="C17" s="5" t="inlineStr">
        <is>
          <t>Số Ca Escalate</t>
        </is>
      </c>
      <c r="D17" s="5" t="inlineStr">
        <is>
          <t>Chi phí Tháng Biến thể B</t>
        </is>
      </c>
      <c r="E17" s="5" t="inlineStr">
        <is>
          <t>Cost / Job Hoàn thành</t>
        </is>
      </c>
      <c r="F17" s="5" t="inlineStr">
        <is>
          <t>Gross Margin % ở giá $0.60</t>
        </is>
      </c>
      <c r="G17" s="5" t="inlineStr">
        <is>
          <t>Đánh giá An toàn Tài chính</t>
        </is>
      </c>
    </row>
    <row r="18">
      <c r="A18" s="46" t="n">
        <v>0.5</v>
      </c>
      <c r="B18" s="47">
        <f>2000*A18</f>
        <v/>
      </c>
      <c r="C18" s="47">
        <f>2000*(1-A18)</f>
        <v/>
      </c>
      <c r="D18" s="48">
        <f>'1_Cost_Job'!B70 + C18*('1_Cost_Job'!B60/60)*'1_Cost_Job'!B61</f>
        <v/>
      </c>
      <c r="E18" s="49">
        <f>D18/B18</f>
        <v/>
      </c>
      <c r="F18" s="50">
        <f>($B$11-E18)/$B$11</f>
        <v/>
      </c>
      <c r="G18" s="7" t="inlineStr">
        <is>
          <t>🟥 NGUY HIỂM (GM &lt; 50% - Lỗ nặng/Biên mỏng)</t>
        </is>
      </c>
    </row>
    <row r="19">
      <c r="A19" s="46" t="n">
        <v>0.6</v>
      </c>
      <c r="B19" s="47">
        <f>2000*A19</f>
        <v/>
      </c>
      <c r="C19" s="47">
        <f>2000*(1-A19)</f>
        <v/>
      </c>
      <c r="D19" s="48">
        <f>'1_Cost_Job'!B70 + C19*('1_Cost_Job'!B60/60)*'1_Cost_Job'!B61</f>
        <v/>
      </c>
      <c r="E19" s="49">
        <f>D19/B19</f>
        <v/>
      </c>
      <c r="F19" s="20">
        <f>($B$11-E19)/$B$11</f>
        <v/>
      </c>
      <c r="G19" s="7" t="inlineStr">
        <is>
          <t>🟨 CẢNH BÁO (Dưới ngưỡng chuẩn 60% GM)</t>
        </is>
      </c>
    </row>
    <row r="20">
      <c r="A20" s="46" t="n">
        <v>0.6840000000000001</v>
      </c>
      <c r="B20" s="47">
        <f>2000*A20</f>
        <v/>
      </c>
      <c r="C20" s="47">
        <f>2000*(1-A20)</f>
        <v/>
      </c>
      <c r="D20" s="48">
        <f>'1_Cost_Job'!B70 + C20*('1_Cost_Job'!B60/60)*'1_Cost_Job'!B61</f>
        <v/>
      </c>
      <c r="E20" s="49">
        <f>D20/B20</f>
        <v/>
      </c>
      <c r="F20" s="28">
        <f>($B$11-E20)/$B$11</f>
        <v/>
      </c>
      <c r="G20" s="51" t="inlineStr">
        <is>
          <t>🟩 BREAKEVEN NGƯỠNG SỐNG CÒN (GM = 60.0%)</t>
        </is>
      </c>
    </row>
    <row r="21">
      <c r="A21" s="46" t="n">
        <v>0.7</v>
      </c>
      <c r="B21" s="47">
        <f>2000*A21</f>
        <v/>
      </c>
      <c r="C21" s="47">
        <f>2000*(1-A21)</f>
        <v/>
      </c>
      <c r="D21" s="48">
        <f>'1_Cost_Job'!B70 + C21*('1_Cost_Job'!B60/60)*'1_Cost_Job'!B61</f>
        <v/>
      </c>
      <c r="E21" s="49">
        <f>D21/B21</f>
        <v/>
      </c>
      <c r="F21" s="28">
        <f>($B$11-E21)/$B$11</f>
        <v/>
      </c>
      <c r="G21" s="7" t="inlineStr">
        <is>
          <t>🟩 AN TOÀN CAO (Biên lợi nhuận xuất sắc)</t>
        </is>
      </c>
    </row>
    <row r="22">
      <c r="A22" s="46" t="n">
        <v>0.8</v>
      </c>
      <c r="B22" s="47">
        <f>2000*A22</f>
        <v/>
      </c>
      <c r="C22" s="47">
        <f>2000*(1-A22)</f>
        <v/>
      </c>
      <c r="D22" s="48">
        <f>'1_Cost_Job'!B70 + C22*('1_Cost_Job'!B60/60)*'1_Cost_Job'!B61</f>
        <v/>
      </c>
      <c r="E22" s="49">
        <f>D22/B22</f>
        <v/>
      </c>
      <c r="F22" s="28">
        <f>($B$11-E22)/$B$11</f>
        <v/>
      </c>
      <c r="G22" s="7" t="inlineStr">
        <is>
          <t>🟩 AN TOÀN CAO (Biên lợi nhuận xuất sắc)</t>
        </is>
      </c>
    </row>
    <row r="23">
      <c r="A23" s="46" t="n">
        <v>0.82</v>
      </c>
      <c r="B23" s="47">
        <f>2000*A23</f>
        <v/>
      </c>
      <c r="C23" s="47">
        <f>2000*(1-A23)</f>
        <v/>
      </c>
      <c r="D23" s="48">
        <f>'1_Cost_Job'!B70 + C23*('1_Cost_Job'!B60/60)*'1_Cost_Job'!B61</f>
        <v/>
      </c>
      <c r="E23" s="49">
        <f>D23/B23</f>
        <v/>
      </c>
      <c r="F23" s="28">
        <f>($B$11-E23)/$B$11</f>
        <v/>
      </c>
      <c r="G23" s="51" t="inlineStr">
        <is>
          <t>🟩 BASELINE HIỆN TẠI (GM = 72.0% - Rất tốt)</t>
        </is>
      </c>
    </row>
    <row r="24">
      <c r="A24" s="46" t="n">
        <v>0.9</v>
      </c>
      <c r="B24" s="47">
        <f>2000*A24</f>
        <v/>
      </c>
      <c r="C24" s="47">
        <f>2000*(1-A24)</f>
        <v/>
      </c>
      <c r="D24" s="48">
        <f>'1_Cost_Job'!B70 + C24*('1_Cost_Job'!B60/60)*'1_Cost_Job'!B61</f>
        <v/>
      </c>
      <c r="E24" s="49">
        <f>D24/B24</f>
        <v/>
      </c>
      <c r="F24" s="28">
        <f>($B$11-E24)/$B$11</f>
        <v/>
      </c>
      <c r="G24" s="7" t="inlineStr">
        <is>
          <t>🟩 AN TOÀN CAO (Biên lợi nhuận xuất sắc)</t>
        </is>
      </c>
    </row>
    <row r="27">
      <c r="A27" s="36" t="inlineStr">
        <is>
          <t>3. NGƯỠNG SINH TỬ BREAKEVEN CONTAINMENT (KẾT NỐI EVALS -&gt; PRICING)</t>
        </is>
      </c>
    </row>
    <row r="28">
      <c r="A28" s="16" t="inlineStr">
        <is>
          <t>Giá bán đề xuất</t>
        </is>
      </c>
      <c r="B28" s="41">
        <f>$B$11</f>
        <v/>
      </c>
      <c r="C28" s="16" t="inlineStr">
        <is>
          <t>$/resolution</t>
        </is>
      </c>
      <c r="D28" s="18" t="inlineStr">
        <is>
          <t>Mức giá niêm yết</t>
        </is>
      </c>
      <c r="E28" s="19" t="inlineStr">
        <is>
          <t>Giá bán chốt</t>
        </is>
      </c>
    </row>
    <row r="29">
      <c r="A29" s="16" t="inlineStr">
        <is>
          <t>Gross Margin mục tiêu tối thiểu</t>
        </is>
      </c>
      <c r="B29" s="20" t="n">
        <v>0.6</v>
      </c>
      <c r="C29" s="16" t="inlineStr">
        <is>
          <t>%</t>
        </is>
      </c>
      <c r="D29" s="18" t="inlineStr">
        <is>
          <t>Ngưỡng an toàn ngành SaaS/AI</t>
        </is>
      </c>
      <c r="E29" s="19" t="inlineStr">
        <is>
          <t>Target chuẩn ngành</t>
        </is>
      </c>
    </row>
    <row r="30">
      <c r="A30" s="12" t="inlineStr">
        <is>
          <t>Cost/Job tối đa cho phép để đạt GM 60%</t>
        </is>
      </c>
      <c r="B30" s="41">
        <f>B28*(1-B29)</f>
        <v/>
      </c>
      <c r="C30" s="16" t="inlineStr">
        <is>
          <t>$/job</t>
        </is>
      </c>
      <c r="D30" s="18">
        <f> Giá bán * (1 - GM mục tiêu) = $0.60 * 0.40</f>
        <v/>
      </c>
      <c r="E30" s="19" t="inlineStr">
        <is>
          <t>Trần chi phí đơn vị</t>
        </is>
      </c>
    </row>
    <row r="31">
      <c r="A31" s="12" t="inlineStr">
        <is>
          <t>BREAKEVEN CONTAINMENT RATE YÊU CẦU</t>
        </is>
      </c>
      <c r="B31" s="28" t="n">
        <v>0.6840000000000001</v>
      </c>
      <c r="C31" s="16" t="inlineStr">
        <is>
          <t>%</t>
        </is>
      </c>
      <c r="D31" s="18" t="inlineStr">
        <is>
          <t>Giải phương trình: (59.54 + 0.60*(2000-R)) / R &lt;= $0.240 -&gt; R &gt;= 1,368 -&gt; 68.4%</t>
        </is>
      </c>
      <c r="E31" s="19" t="inlineStr">
        <is>
          <t>NGƯỠNG SỐNG CÒN CỦA Evals</t>
        </is>
      </c>
    </row>
    <row r="32">
      <c r="A32" s="16" t="inlineStr">
        <is>
          <t>Containment Rate thực tế từ Evals</t>
        </is>
      </c>
      <c r="B32" s="28">
        <f>'1_Cost_Job'!B15</f>
        <v/>
      </c>
      <c r="C32" s="16" t="inlineStr">
        <is>
          <t>%</t>
        </is>
      </c>
      <c r="D32" s="18" t="inlineStr">
        <is>
          <t>Lấy từ kết quả Eval / Giả định Tab 1</t>
        </is>
      </c>
      <c r="E32" s="19" t="inlineStr">
        <is>
          <t>Kết quả thực tế hôm nay</t>
        </is>
      </c>
    </row>
    <row r="33">
      <c r="A33" s="12" t="inlineStr">
        <is>
          <t>Biên an toàn (Safety Margin = Thực tế - Breakeven)</t>
        </is>
      </c>
      <c r="B33" s="28">
        <f>B32-B31</f>
        <v/>
      </c>
      <c r="C33" s="16" t="inlineStr">
        <is>
          <t>%</t>
        </is>
      </c>
      <c r="D33" s="18">
        <f> B32 - B31 (82.0% - 68.4%)</f>
        <v/>
      </c>
      <c r="E33" s="19" t="inlineStr">
        <is>
          <t>VÙNG AN TOÀN DƯ +13.6% (Đảm bảo mô hình luôn có lãi)</t>
        </is>
      </c>
    </row>
  </sheetData>
  <mergeCells count="3">
    <mergeCell ref="A16:G16"/>
    <mergeCell ref="A4:E4"/>
    <mergeCell ref="A27:E2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4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25" customWidth="1" min="2" max="2"/>
    <col width="50" customWidth="1" min="3" max="3"/>
    <col width="35" customWidth="1" min="4" max="4"/>
  </cols>
  <sheetData>
    <row r="1">
      <c r="A1" s="1" t="inlineStr">
        <is>
          <t>TAB 3: ĐÁNH GIÁ MA TRẬN ATTRIBUTION x AUTONOMY &amp; CHỌN VALUE METRIC</t>
        </is>
      </c>
    </row>
    <row r="2">
      <c r="A2" s="2" t="inlineStr">
        <is>
          <t>Chấm điểm khả năng quy kết giá trị (Attribution) và mức độ tự động hóa (Autonomy)</t>
        </is>
      </c>
    </row>
    <row r="4">
      <c r="A4" s="4" t="inlineStr">
        <is>
          <t>1. CHẤM ĐIỂM ATTRIBUTION (KHẢ NĂNG ĐO LƯỜNG &amp; QUY KẾT KẾT QUẢ CHO AI)</t>
        </is>
      </c>
    </row>
    <row r="5">
      <c r="A5" s="5" t="inlineStr">
        <is>
          <t>Tiêu chí đánh giá</t>
        </is>
      </c>
      <c r="B5" s="5" t="inlineStr">
        <is>
          <t>Điểm (1-5)</t>
        </is>
      </c>
      <c r="C5" s="5" t="inlineStr">
        <is>
          <t>Bằng chứng thực tế của sản phẩm</t>
        </is>
      </c>
      <c r="D5" s="5" t="inlineStr">
        <is>
          <t>Ghi chú chấm điểm</t>
        </is>
      </c>
    </row>
    <row r="6">
      <c r="A6" s="16" t="inlineStr">
        <is>
          <t>Khách hàng có đồng thuận về định nghĩa 'ticket giải quyết xong' không?</t>
        </is>
      </c>
      <c r="B6" s="6" t="n">
        <v>5</v>
      </c>
      <c r="C6" s="18" t="inlineStr">
        <is>
          <t>Định nghĩa rõ: Khách xác nhận 'Cảm ơn/Đã hiểu' hoặc không gửi thêm tin nhắn sau 24h</t>
        </is>
      </c>
      <c r="D6" s="19" t="inlineStr">
        <is>
          <t>Định nghĩa chặt chẽ không tranh cãi</t>
        </is>
      </c>
    </row>
    <row r="7">
      <c r="A7" s="16" t="inlineStr">
        <is>
          <t>Hệ thống có log rõ ràng tin nhắn cuối cùng là bot xử lý mà không cần chuyển người?</t>
        </is>
      </c>
      <c r="B7" s="6" t="n">
        <v>5</v>
      </c>
      <c r="C7" s="18" t="inlineStr">
        <is>
          <t>Audit log lưu lại toàn bộ message trace, trạng thái closed by AI trong cơ sở dữ liệu</t>
        </is>
      </c>
      <c r="D7" s="19" t="inlineStr">
        <is>
          <t>Attribution kỹ thuật 100%</t>
        </is>
      </c>
    </row>
    <row r="8">
      <c r="A8" s="16" t="inlineStr">
        <is>
          <t>Có thể đo lường tỷ lệ CSAT hoặc tỷ lệ no-reopen tự động không?</t>
        </is>
      </c>
      <c r="B8" s="6" t="n">
        <v>4</v>
      </c>
      <c r="C8" s="18" t="inlineStr">
        <is>
          <t>Tự động gửi khảo sát 1-click CSAT sau khi đóng ticket và đo reopen rate trong 24h</t>
        </is>
      </c>
      <c r="D8" s="19" t="inlineStr">
        <is>
          <t>Đo lường định lượng chính xác</t>
        </is>
      </c>
    </row>
    <row r="9">
      <c r="A9" s="16" t="inlineStr">
        <is>
          <t>Khách hàng có phân biệt được ticket do AI giải quyết vs ticket nhân sự làm?</t>
        </is>
      </c>
      <c r="B9" s="6" t="n">
        <v>5</v>
      </c>
      <c r="C9" s="18" t="inlineStr">
        <is>
          <t>Phân tách rõ ràng trên Dashboard báo cáo: Ticket Resolved by AI vs Escalate to Human</t>
        </is>
      </c>
      <c r="D9" s="19" t="inlineStr">
        <is>
          <t>Rõ ràng minh bạch trên hoá đơn</t>
        </is>
      </c>
    </row>
    <row r="10">
      <c r="A10" s="16" t="inlineStr">
        <is>
          <t>Có cơ chế tự động miễn phí/hoàn tiền khi ticket bị escalate hoặc khách phàn nàn?</t>
        </is>
      </c>
      <c r="B10" s="6" t="n">
        <v>5</v>
      </c>
      <c r="C10" s="18" t="inlineStr">
        <is>
          <t>Chỉ tính tiền khi status = 'AI Resolved'; toàn bộ ca Escalate tính $0 tiền phí outcome</t>
        </is>
      </c>
      <c r="D10" s="19" t="inlineStr">
        <is>
          <t>Khách hàng hoàn toàn tin tưởng</t>
        </is>
      </c>
    </row>
    <row r="11">
      <c r="A11" s="12" t="inlineStr">
        <is>
          <t>TỔNG ĐIỂM ATTRIBUTION (Max: 25)</t>
        </is>
      </c>
      <c r="B11" s="9">
        <f>SUM(B6:B10)</f>
        <v/>
      </c>
      <c r="C11" s="12" t="inlineStr">
        <is>
          <t>ATTRIBUTION CAO (&gt;= 20/25) -&gt; ĐỦ ĐIỀU KIỆN BÁN OUTCOME</t>
        </is>
      </c>
      <c r="D11" s="19" t="inlineStr">
        <is>
          <t>Kết quả xuất sắc</t>
        </is>
      </c>
    </row>
    <row r="13">
      <c r="A13" s="4" t="inlineStr">
        <is>
          <t>2. CHẤM ĐIỂM AUTONOMY (MỨC ĐỘ TỰ ĐỘNG HÓA CỦA AI TRONG QUY TRÌNH)</t>
        </is>
      </c>
    </row>
    <row r="14">
      <c r="A14" s="5" t="inlineStr">
        <is>
          <t>Tiêu chí đánh giá</t>
        </is>
      </c>
      <c r="B14" s="5" t="inlineStr">
        <is>
          <t>Điểm (1-5)</t>
        </is>
      </c>
      <c r="C14" s="5" t="inlineStr">
        <is>
          <t>Bằng chứng thực tế của sản phẩm</t>
        </is>
      </c>
      <c r="D14" s="5" t="inlineStr">
        <is>
          <t>Ghi chú chấm điểm</t>
        </is>
      </c>
    </row>
    <row r="15">
      <c r="A15" s="16" t="inlineStr">
        <is>
          <t>AI có tự động kết nối API CRM/ERP tra cứu thông tin đơn hàng/vận đơn không?</t>
        </is>
      </c>
      <c r="B15" s="6" t="n">
        <v>5</v>
      </c>
      <c r="C15" s="18" t="inlineStr">
        <is>
          <t>Agent tự gọi tool check_order_status(), get_policy_rag() qua API</t>
        </is>
      </c>
      <c r="D15" s="19" t="inlineStr">
        <is>
          <t>Tự động hóa dữ liệu đầu vào</t>
        </is>
      </c>
    </row>
    <row r="16">
      <c r="A16" s="16" t="inlineStr">
        <is>
          <t>AI có tự ra quyết định phản hồi và đóng ticket mà không cần người bấm duyệt?</t>
        </is>
      </c>
      <c r="B16" s="6" t="n">
        <v>5</v>
      </c>
      <c r="C16" s="18" t="inlineStr">
        <is>
          <t>Tự động gửi câu trả lời và cập nhật trạng thái đơn hàng trên Pancake/Zalo OA</t>
        </is>
      </c>
      <c r="D16" s="19" t="inlineStr">
        <is>
          <t>Không cần human approval từng tin</t>
        </is>
      </c>
    </row>
    <row r="17">
      <c r="A17" s="16" t="inlineStr">
        <is>
          <t>Tỷ lệ Containment rate đạt mức cao trong môi trường thực tế?</t>
        </is>
      </c>
      <c r="B17" s="6" t="n">
        <v>4</v>
      </c>
      <c r="C17" s="18" t="inlineStr">
        <is>
          <t>Đạt 82.0% Containment rate trên tập test pilot</t>
        </is>
      </c>
      <c r="D17" s="19" t="inlineStr">
        <is>
          <t>Tự xử lý phần lớn ticket</t>
        </is>
      </c>
    </row>
    <row r="18">
      <c r="A18" s="16" t="inlineStr">
        <is>
          <t>Hệ thống có tự động nhận diện intent phức tạp để escalate an toàn?</t>
        </is>
      </c>
      <c r="B18" s="6" t="n">
        <v>5</v>
      </c>
      <c r="C18" s="18" t="inlineStr">
        <is>
          <t>Fallback an toàn 100% khi gặp khiếu nại gay gắt hoặc ngoài tri thức</t>
        </is>
      </c>
      <c r="D18" s="19" t="inlineStr">
        <is>
          <t>Tránh hallucination gây hại</t>
        </is>
      </c>
    </row>
    <row r="19">
      <c r="A19" s="16" t="inlineStr">
        <is>
          <t>Mức độ can thiệp của con người trong quá trình xử lý ticket?</t>
        </is>
      </c>
      <c r="B19" s="6" t="n">
        <v>4</v>
      </c>
      <c r="C19" s="18" t="inlineStr">
        <is>
          <t>Chỉ can thiệp ở 18% ca escalate; 82% còn lại hoàn toàn không có người chạm vào</t>
        </is>
      </c>
      <c r="D19" s="19" t="inlineStr">
        <is>
          <t>Mức độ can thiệp cực thấp</t>
        </is>
      </c>
    </row>
    <row r="20">
      <c r="A20" s="12" t="inlineStr">
        <is>
          <t>TỔNG ĐIỂM AUTONOMY (Max: 25)</t>
        </is>
      </c>
      <c r="B20" s="9">
        <f>SUM(B15:B19)</f>
        <v/>
      </c>
      <c r="C20" s="12" t="inlineStr">
        <is>
          <t>AUTONOMY CAO (&gt;= 20/25) -&gt; AI TỰ CHẠY ĐỘC LẬP TỐT</t>
        </is>
      </c>
      <c r="D20" s="19" t="inlineStr">
        <is>
          <t>Kết quả xuất sắc</t>
        </is>
      </c>
    </row>
    <row r="22">
      <c r="A22" s="36" t="inlineStr">
        <is>
          <t>3. KẾT QUẢ GỢI Ý VALUE METRIC TỪ MA TRẬN &amp; BENCHMARK THỊ TRƯỜNG</t>
        </is>
      </c>
    </row>
    <row r="23">
      <c r="A23" s="12" t="inlineStr">
        <is>
          <t>Gợi ý từ Ma trận Attribution x Autonomy:</t>
        </is>
      </c>
      <c r="B23" s="52" t="inlineStr">
        <is>
          <t>OUTCOME-BASED hoặc HYBRID (Base + Outcome)</t>
        </is>
      </c>
      <c r="C23" s="14" t="n"/>
      <c r="D23" s="15" t="n"/>
    </row>
    <row r="25">
      <c r="A25" s="4" t="inlineStr">
        <is>
          <t>4. BENCHMARK 3 SẢN PHẨM THẬT CÙNG LOẠI JOB</t>
        </is>
      </c>
    </row>
    <row r="26">
      <c r="A26" s="5" t="inlineStr">
        <is>
          <t>Sản phẩm Benchmark</t>
        </is>
      </c>
      <c r="B26" s="5" t="inlineStr">
        <is>
          <t>Value Metric áp dụng</t>
        </is>
      </c>
      <c r="C26" s="5" t="inlineStr">
        <is>
          <t>Mức giá niêm yết hiện hành</t>
        </is>
      </c>
      <c r="D26" s="5" t="inlineStr">
        <is>
          <t>Nguồn tham chiếu xác thực</t>
        </is>
      </c>
    </row>
    <row r="27">
      <c r="A27" s="12" t="inlineStr">
        <is>
          <t>1. Intercom Fin</t>
        </is>
      </c>
      <c r="B27" s="16" t="inlineStr">
        <is>
          <t>Outcome (Per Resolution)</t>
        </is>
      </c>
      <c r="C27" s="16" t="inlineStr">
        <is>
          <t>$0.99 / resolution (Không tính phí seat khi cắm Helpdesk ngoài)</t>
        </is>
      </c>
      <c r="D27" s="18" t="inlineStr">
        <is>
          <t>https://fin.ai/pricing/</t>
        </is>
      </c>
    </row>
    <row r="28">
      <c r="A28" s="12" t="inlineStr">
        <is>
          <t>2. Zendesk AI</t>
        </is>
      </c>
      <c r="B28" s="16" t="inlineStr">
        <is>
          <t>Outcome (Automated Resolution Tiers)</t>
        </is>
      </c>
      <c r="C28" s="16" t="inlineStr">
        <is>
          <t>$1.50 / automated resolution</t>
        </is>
      </c>
      <c r="D28" s="18" t="inlineStr">
        <is>
          <t>https://zendesk.com/pricing</t>
        </is>
      </c>
    </row>
    <row r="29">
      <c r="A29" s="12" t="inlineStr">
        <is>
          <t>3. Salesforce Agentforce</t>
        </is>
      </c>
      <c r="B29" s="16" t="inlineStr">
        <is>
          <t>Usage / Hybrid (Flex Credits + User)</t>
        </is>
      </c>
      <c r="C29" s="16" t="inlineStr">
        <is>
          <t>$2.00 / conversation hoặc $0.10 / action</t>
        </is>
      </c>
      <c r="D29" s="18" t="inlineStr">
        <is>
          <t>https://salesforce.com/agentforce/pricing/</t>
        </is>
      </c>
    </row>
    <row r="31">
      <c r="A31" s="4" t="inlineStr">
        <is>
          <t>5. CHỐT VALUE METRIC &amp; DECISION NOTE (3 CÂU BẢO VỆ)</t>
        </is>
      </c>
    </row>
    <row r="32">
      <c r="A32" s="12" t="inlineStr">
        <is>
          <t>1. Đơn vị tính tiền chốt:</t>
        </is>
      </c>
      <c r="B32" s="13" t="inlineStr">
        <is>
          <t>HYBRID: Phí nền $99/tháng (bao gồm 200 resolutions) + $0.50/resolution vượt định mức (hoặc $0.60/resolution thuần).</t>
        </is>
      </c>
      <c r="C32" s="14" t="n"/>
      <c r="D32" s="15" t="n"/>
    </row>
    <row r="33">
      <c r="A33" s="12" t="inlineStr">
        <is>
          <t>2. Bằng chứng Attribution &amp; Autonomy:</t>
        </is>
      </c>
      <c r="B33" s="13" t="inlineStr">
        <is>
          <t>Attribution đạt 24/25 và Autonomy đạt 23/25, chứng minh qua Eval 82% Containment rate và hệ thống log trace không thể tranh cãi.</t>
        </is>
      </c>
      <c r="C33" s="14" t="n"/>
      <c r="D33" s="15" t="n"/>
    </row>
    <row r="34">
      <c r="A34" s="12" t="inlineStr">
        <is>
          <t>3. Lý do thị trường (Market Justification):</t>
        </is>
      </c>
      <c r="B34" s="13" t="inlineStr">
        <is>
          <t>SME Việt Nam cần phí nền thấp để yên tâm setup, đồng thời đơn giá $0.50 - $0.60/resolution giúp khách hàng thấy rẻ hơn 50% so với thuê người trực đêm mà không sợ hóa đơn bị thả nổi.</t>
        </is>
      </c>
      <c r="C34" s="14" t="n"/>
      <c r="D34" s="15" t="n"/>
    </row>
  </sheetData>
  <mergeCells count="9">
    <mergeCell ref="B33:D33"/>
    <mergeCell ref="A31:D31"/>
    <mergeCell ref="A22:D22"/>
    <mergeCell ref="B23:D23"/>
    <mergeCell ref="A4:D4"/>
    <mergeCell ref="B32:D32"/>
    <mergeCell ref="A25:D25"/>
    <mergeCell ref="A13:D13"/>
    <mergeCell ref="B34:D3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"/>
  <sheetViews>
    <sheetView showGridLines="1" workbookViewId="0">
      <selection activeCell="A1" sqref="A1"/>
    </sheetView>
  </sheetViews>
  <sheetFormatPr baseColWidth="8" defaultRowHeight="15"/>
  <cols>
    <col width="46" customWidth="1" min="1" max="1"/>
    <col width="22" customWidth="1" min="2" max="2"/>
    <col width="22" customWidth="1" min="3" max="3"/>
    <col width="24" customWidth="1" min="4" max="4"/>
    <col width="46" customWidth="1" min="5" max="5"/>
  </cols>
  <sheetData>
    <row r="1">
      <c r="A1" s="1" t="inlineStr">
        <is>
          <t>TAB 4: ĐÁNH GIÁ KÊNH GTM &amp; CHANNEL AFFORDABILITY TEST</t>
        </is>
      </c>
    </row>
    <row r="2">
      <c r="A2" s="2" t="inlineStr">
        <is>
          <t>Tính toán Ngân sách CAC, Deal Capacity của Sales Rep và Chấm điểm lựa chọn 1 Kênh Phân Phối Cốt Lõi</t>
        </is>
      </c>
    </row>
    <row r="4">
      <c r="A4" s="4" t="inlineStr">
        <is>
          <t>1. TÍNH TOÁN NGÂN SÁCH CAC TỐI ĐA CHO PHÉP (CHANNEL AFFORDABILITY)</t>
        </is>
      </c>
    </row>
    <row r="5">
      <c r="A5" s="5" t="inlineStr">
        <is>
          <t>Khoản mục</t>
        </is>
      </c>
      <c r="B5" s="5" t="inlineStr">
        <is>
          <t>Giá trị</t>
        </is>
      </c>
      <c r="C5" s="5" t="inlineStr">
        <is>
          <t>Đơn vị</t>
        </is>
      </c>
      <c r="D5" s="5" t="inlineStr">
        <is>
          <t>Công thức / Nguồn cơ sở</t>
        </is>
      </c>
      <c r="E5" s="5" t="inlineStr">
        <is>
          <t>Ghi chú</t>
        </is>
      </c>
    </row>
    <row r="6">
      <c r="A6" s="12" t="inlineStr">
        <is>
          <t>ARPU trung bình / khách hàng / tháng</t>
        </is>
      </c>
      <c r="B6" s="35" t="n">
        <v>300</v>
      </c>
      <c r="C6" s="16" t="inlineStr">
        <is>
          <t>$/tháng</t>
        </is>
      </c>
      <c r="D6" s="18" t="inlineStr">
        <is>
          <t>Ước tính gói Hybrid ~500 resolutions/tháng</t>
        </is>
      </c>
      <c r="E6" s="19" t="inlineStr">
        <is>
          <t>Doanh thu trung bình trên 1 shop SME</t>
        </is>
      </c>
    </row>
    <row r="7">
      <c r="A7" s="16" t="inlineStr">
        <is>
          <t>Gross Margin % lấy từ Tab 2</t>
        </is>
      </c>
      <c r="B7" s="53">
        <f>'2_Pricing'!B14</f>
        <v/>
      </c>
      <c r="C7" s="16" t="inlineStr">
        <is>
          <t>%</t>
        </is>
      </c>
      <c r="D7" s="18" t="inlineStr">
        <is>
          <t>Lấy từ Tab 2 (='2_Pricing'!B14)</t>
        </is>
      </c>
      <c r="E7" s="19" t="inlineStr">
        <is>
          <t>Biên lợi nhuận gộp</t>
        </is>
      </c>
    </row>
    <row r="8">
      <c r="A8" s="16" t="inlineStr">
        <is>
          <t>Phân khúc khách hàng mục tiêu</t>
        </is>
      </c>
      <c r="B8" s="23" t="inlineStr">
        <is>
          <t>SMB</t>
        </is>
      </c>
      <c r="C8" s="16" t="inlineStr">
        <is>
          <t>Segment</t>
        </is>
      </c>
      <c r="D8" s="18" t="inlineStr">
        <is>
          <t>SMB / Mid-market / Enterprise</t>
        </is>
      </c>
      <c r="E8" s="19" t="inlineStr">
        <is>
          <t>Khách hàng E-commerce &amp; Retail SME</t>
        </is>
      </c>
    </row>
    <row r="9">
      <c r="A9" s="16" t="inlineStr">
        <is>
          <t>Thời gian hoàn vốn CAC tối đa cho phép (Payback Months)</t>
        </is>
      </c>
      <c r="B9" s="54" t="n">
        <v>12</v>
      </c>
      <c r="C9" s="16" t="inlineStr">
        <is>
          <t>tháng</t>
        </is>
      </c>
      <c r="D9" s="18" t="inlineStr">
        <is>
          <t>Chuẩn Bessemer 2024: SMB &lt; 12 tháng</t>
        </is>
      </c>
      <c r="E9" s="19" t="inlineStr">
        <is>
          <t>Ngưỡng hoàn vốn tối đa</t>
        </is>
      </c>
    </row>
    <row r="10">
      <c r="A10" s="12" t="inlineStr">
        <is>
          <t>NGÂN SÁCH CAC TỐI ĐA CHO PHÉP / KHÁCH HÀNG</t>
        </is>
      </c>
      <c r="B10" s="55">
        <f>B6*B7*B9</f>
        <v/>
      </c>
      <c r="C10" s="16" t="inlineStr">
        <is>
          <t>$/khách</t>
        </is>
      </c>
      <c r="D10" s="18">
        <f> ARPU * Gross Margin * Payback Months</f>
        <v/>
      </c>
      <c r="E10" s="19" t="inlineStr">
        <is>
          <t>SỐ TIỀN TỐI ĐA ĐƯỢC PHÉP CHI ĐỂ CÓ 1 KHÁCH</t>
        </is>
      </c>
    </row>
    <row r="11">
      <c r="A11" s="16" t="inlineStr">
        <is>
          <t>Quy đổi Ngân sách CAC sang VNĐ (tỷ giá 26,000)</t>
        </is>
      </c>
      <c r="B11" s="40">
        <f>B10*26000</f>
        <v/>
      </c>
      <c r="C11" s="16" t="inlineStr">
        <is>
          <t>VNĐ/khách</t>
        </is>
      </c>
      <c r="D11" s="18">
        <f> B10 * 26,000</f>
        <v/>
      </c>
      <c r="E11" s="19" t="inlineStr">
        <is>
          <t>Tương đương ~67.3 triệu VNĐ / khách</t>
        </is>
      </c>
    </row>
    <row r="13">
      <c r="A13" s="4" t="inlineStr">
        <is>
          <t>2. KIỂM TRA TÍNH KHẢ THI CỦA SALES-LED MOTION (INSIDE SALES CAPACITY)</t>
        </is>
      </c>
    </row>
    <row r="14">
      <c r="A14" s="16" t="inlineStr">
        <is>
          <t>Quota doanh số 1 Account Executive (AE) / năm</t>
        </is>
      </c>
      <c r="B14" s="24" t="n">
        <v>120000</v>
      </c>
      <c r="C14" s="16" t="inlineStr">
        <is>
          <t>$/năm</t>
        </is>
      </c>
      <c r="D14" s="18" t="inlineStr">
        <is>
          <t>Giả định quota AE thị trường SEA/VN</t>
        </is>
      </c>
      <c r="E14" s="19" t="inlineStr">
        <is>
          <t>Chỉ tiêu doanh thu 1 sales</t>
        </is>
      </c>
    </row>
    <row r="15">
      <c r="A15" s="12" t="inlineStr">
        <is>
          <t>Giá trị hợp đồng hàng năm (ACV = ARPU x 12)</t>
        </is>
      </c>
      <c r="B15" s="30">
        <f>B6*12</f>
        <v/>
      </c>
      <c r="C15" s="16" t="inlineStr">
        <is>
          <t>$/năm</t>
        </is>
      </c>
      <c r="D15" s="18">
        <f> B6 * 12</f>
        <v/>
      </c>
      <c r="E15" s="19" t="inlineStr">
        <is>
          <t>ACV = $3,600 / năm</t>
        </is>
      </c>
    </row>
    <row r="16">
      <c r="A16" s="16" t="inlineStr">
        <is>
          <t>Số deal 1 AE phải chốt / năm</t>
        </is>
      </c>
      <c r="B16" s="56">
        <f>B14/B15</f>
        <v/>
      </c>
      <c r="C16" s="16" t="inlineStr">
        <is>
          <t>deals/năm</t>
        </is>
      </c>
      <c r="D16" s="18">
        <f> Quota / ACV = $120k / $3.6k</f>
        <v/>
      </c>
      <c r="E16" s="19" t="inlineStr">
        <is>
          <t>Số lượng deal cần hoàn thành</t>
        </is>
      </c>
    </row>
    <row r="17">
      <c r="A17" s="16" t="inlineStr">
        <is>
          <t>Số ngày làm việc trong năm</t>
        </is>
      </c>
      <c r="B17" s="57" t="n">
        <v>250</v>
      </c>
      <c r="C17" s="16" t="inlineStr">
        <is>
          <t>ngày</t>
        </is>
      </c>
      <c r="D17" s="18" t="inlineStr">
        <is>
          <t>50 tuần x 5 ngày</t>
        </is>
      </c>
      <c r="E17" s="19" t="inlineStr">
        <is>
          <t>Thời gian làm việc thực tế</t>
        </is>
      </c>
    </row>
    <row r="18">
      <c r="A18" s="16" t="inlineStr">
        <is>
          <t>Số deal 1 AE phải chốt / ngày làm việc</t>
        </is>
      </c>
      <c r="B18" s="58">
        <f>B16/B17</f>
        <v/>
      </c>
      <c r="C18" s="16" t="inlineStr">
        <is>
          <t>deals/ngày</t>
        </is>
      </c>
      <c r="D18" s="18">
        <f> Deals / 250 ngày = 33.3 / 250</f>
        <v/>
      </c>
      <c r="E18" s="19" t="inlineStr">
        <is>
          <t>0.13 deal/ngày (~1 deal mỗi 7.5 ngày) -&gt; Về số deal thì khả thi</t>
        </is>
      </c>
    </row>
    <row r="19">
      <c r="A19" s="16" t="inlineStr">
        <is>
          <t>Cost per Opportunity thực tế của Sales Rep (ICONIQ 2026)</t>
        </is>
      </c>
      <c r="B19" s="24" t="n">
        <v>6300</v>
      </c>
      <c r="C19" s="16" t="inlineStr">
        <is>
          <t>$/opp</t>
        </is>
      </c>
      <c r="D19" s="18" t="inlineStr">
        <is>
          <t>Benchmark ICONIQ 2026 cho phân khúc SMB</t>
        </is>
      </c>
      <c r="E19" s="19" t="inlineStr">
        <is>
          <t>Chi phí để tạo ra 1 cơ hội demo sales</t>
        </is>
      </c>
    </row>
    <row r="20">
      <c r="A20" s="16" t="inlineStr">
        <is>
          <t>Tỷ lệ chốt thành công của Sales (Win Rate)</t>
        </is>
      </c>
      <c r="B20" s="33" t="n">
        <v>0.25</v>
      </c>
      <c r="C20" s="16" t="inlineStr">
        <is>
          <t>%</t>
        </is>
      </c>
      <c r="D20" s="18" t="inlineStr">
        <is>
          <t>Benchmark chuẩn ngành B2B SaaS 25%</t>
        </is>
      </c>
      <c r="E20" s="19" t="inlineStr">
        <is>
          <t>1/4 cơ hội thành khách trả tiền</t>
        </is>
      </c>
    </row>
    <row r="21">
      <c r="A21" s="12" t="inlineStr">
        <is>
          <t>CAC THỰC TẾ ƯỚC TÍNH NẾU DÙNG ĐỘI SALES REP</t>
        </is>
      </c>
      <c r="B21" s="59">
        <f>B19/B20</f>
        <v/>
      </c>
      <c r="C21" s="16" t="inlineStr">
        <is>
          <t>$/khách</t>
        </is>
      </c>
      <c r="D21" s="18">
        <f> Cost per Opp / Win Rate = $6,300 / 0.25</f>
        <v/>
      </c>
      <c r="E21" s="19" t="inlineStr">
        <is>
          <t>Chi phí để có 1 khách qua sales</t>
        </is>
      </c>
    </row>
    <row r="22">
      <c r="A22" s="12" t="inlineStr">
        <is>
          <t>HỆ SỐ LỆCH (CAC THỰC TẾ SALES / NGÂN SÁCH CAC)</t>
        </is>
      </c>
      <c r="B22" s="60">
        <f>B21/B10</f>
        <v/>
      </c>
      <c r="C22" s="16" t="inlineStr">
        <is>
          <t>lần</t>
        </is>
      </c>
      <c r="D22" s="18">
        <f> $25,200 / $2,592</f>
        <v/>
      </c>
      <c r="E22" s="19" t="inlineStr">
        <is>
          <t>🟥 LỆCH 9.7 LẦN -&gt; SALES-LED THUẦN LÀ BẤT KHẢ THI</t>
        </is>
      </c>
    </row>
    <row r="24">
      <c r="A24" s="4" t="inlineStr">
        <is>
          <t>3. SCORECARD CHẤM ĐIỂM 3 KÊNH PHÂN PHỐI (PLG vs PARTNER-LED vs SALES-LED)</t>
        </is>
      </c>
    </row>
    <row r="25">
      <c r="A25" s="5" t="inlineStr">
        <is>
          <t>Tiêu chí đánh giá (Thang điểm 1-5)</t>
        </is>
      </c>
      <c r="B25" s="5" t="inlineStr">
        <is>
          <t>PLG (Product-Led)</t>
        </is>
      </c>
      <c r="C25" s="5" t="inlineStr">
        <is>
          <t>Partner-Led (Platform)</t>
        </is>
      </c>
      <c r="D25" s="5" t="inlineStr">
        <is>
          <t>Sales-Led (Direct Sales)</t>
        </is>
      </c>
      <c r="E25" s="5" t="inlineStr">
        <is>
          <t>Trọng số &amp; Ý nghĩa</t>
        </is>
      </c>
    </row>
    <row r="26">
      <c r="A26" s="16" t="inlineStr">
        <is>
          <t>1. Chi phí tiếp cận khách hàng (CAC Affordability)</t>
        </is>
      </c>
      <c r="B26" s="6" t="n">
        <v>4</v>
      </c>
      <c r="C26" s="6" t="n">
        <v>5</v>
      </c>
      <c r="D26" s="6" t="n">
        <v>1</v>
      </c>
      <c r="E26" s="19" t="inlineStr">
        <is>
          <t>Partner-Led CAC thấp nhất nhờ đòn bẩy</t>
        </is>
      </c>
    </row>
    <row r="27">
      <c r="A27" s="16" t="inlineStr">
        <is>
          <t>2. Mức độ phù hợp với Pain Moment (Zero Friction)</t>
        </is>
      </c>
      <c r="B27" s="6" t="n">
        <v>3</v>
      </c>
      <c r="C27" s="6" t="n">
        <v>5</v>
      </c>
      <c r="D27" s="6" t="n">
        <v>2</v>
      </c>
      <c r="E27" s="19" t="inlineStr">
        <is>
          <t>Partner-Led nhúng thẳng vào Pancake/Zalo</t>
        </is>
      </c>
    </row>
    <row r="28">
      <c r="A28" s="16" t="inlineStr">
        <is>
          <t>3. Tốc độ triển khai &amp; ra mắt trong 90 ngày</t>
        </is>
      </c>
      <c r="B28" s="6" t="n">
        <v>4</v>
      </c>
      <c r="C28" s="6" t="n">
        <v>5</v>
      </c>
      <c r="D28" s="6" t="n">
        <v>2</v>
      </c>
      <c r="E28" s="19" t="inlineStr">
        <is>
          <t>Cắm webhook partner có sẵn khách ngay</t>
        </is>
      </c>
    </row>
    <row r="29">
      <c r="A29" s="16" t="inlineStr">
        <is>
          <t>4. Tỷ lệ chuyển đổi &amp; niềm tin ban đầu của khách</t>
        </is>
      </c>
      <c r="B29" s="6" t="n">
        <v>3</v>
      </c>
      <c r="C29" s="6" t="n">
        <v>5</v>
      </c>
      <c r="D29" s="6" t="n">
        <v>3</v>
      </c>
      <c r="E29" s="19" t="inlineStr">
        <is>
          <t>Partner uy tín bảo chứng</t>
        </is>
      </c>
    </row>
    <row r="30">
      <c r="A30" s="16" t="inlineStr">
        <is>
          <t>5. Kh khả năng mở rộng (Scalability) không phình người</t>
        </is>
      </c>
      <c r="B30" s="6" t="n">
        <v>5</v>
      </c>
      <c r="C30" s="6" t="n">
        <v>4</v>
      </c>
      <c r="D30" s="6" t="n">
        <v>2</v>
      </c>
      <c r="E30" s="19" t="inlineStr">
        <is>
          <t>PLG và Partner scale rất nhanh</t>
        </is>
      </c>
    </row>
    <row r="31">
      <c r="A31" s="16" t="inlineStr">
        <is>
          <t>6. Mức độ kiểm soát quan hệ khách hàng</t>
        </is>
      </c>
      <c r="B31" s="6" t="n">
        <v>3</v>
      </c>
      <c r="C31" s="6" t="n">
        <v>3</v>
      </c>
      <c r="D31" s="6" t="n">
        <v>5</v>
      </c>
      <c r="E31" s="19" t="inlineStr">
        <is>
          <t>Sales-Led giữ quan hệ tốt nhất</t>
        </is>
      </c>
    </row>
    <row r="32">
      <c r="A32" s="12" t="inlineStr">
        <is>
          <t>TỔNG ĐIỂM ĐÁNH GIÁ (Max: 30)</t>
        </is>
      </c>
      <c r="B32" s="8">
        <f>SUM(B26:B31)</f>
        <v/>
      </c>
      <c r="C32" s="9">
        <f>SUM(C26:C31)</f>
        <v/>
      </c>
      <c r="D32" s="10">
        <f>SUM(D26:D31)</f>
        <v/>
      </c>
      <c r="E32" s="12" t="inlineStr">
        <is>
          <t>PARTNER-LED ĐẠT ĐIỂM CAO NHẤT (27/30)</t>
        </is>
      </c>
    </row>
    <row r="34">
      <c r="A34" s="36" t="inlineStr">
        <is>
          <t>4. KẾT LUẬN KÊNH GTM CHỐT CHO 90 NGÀY ĐẦU TIÊN</t>
        </is>
      </c>
    </row>
    <row r="35">
      <c r="A35" s="12" t="inlineStr">
        <is>
          <t>Kênh GTM lựa chọn:</t>
        </is>
      </c>
      <c r="B35" s="13" t="inlineStr">
        <is>
          <t>PARTNER-LED (Cắm vào nền tảng E-commerce/Helpdesk có sẵn) kết hợp PLG Freemium 50 resolutions.</t>
        </is>
      </c>
      <c r="C35" s="14" t="n"/>
      <c r="D35" s="14" t="n"/>
      <c r="E35" s="15" t="n"/>
    </row>
    <row r="36">
      <c r="A36" s="12" t="inlineStr">
        <is>
          <t>Tên Partner cụ thể:</t>
        </is>
      </c>
      <c r="B36" s="13" t="inlineStr">
        <is>
          <t>Pancake / BotCake (Quản lý chat đa kênh cho 50,000+ shop tại VN), Haravan &amp; Sapo App Store, Zalo OA.</t>
        </is>
      </c>
      <c r="C36" s="14" t="n"/>
      <c r="D36" s="14" t="n"/>
      <c r="E36" s="15" t="n"/>
    </row>
    <row r="37">
      <c r="A37" s="12" t="inlineStr">
        <is>
          <t>Giá trị mang lại cho Partner:</t>
        </is>
      </c>
      <c r="B37" s="13" t="inlineStr">
        <is>
          <t>Giúp Partner tăng retention khách hàng, giảm áp lực hạ tầng CSKH cho merchant, chia sẻ 20% doanh thu revenue share.</t>
        </is>
      </c>
      <c r="C37" s="14" t="n"/>
      <c r="D37" s="14" t="n"/>
      <c r="E37" s="15" t="n"/>
    </row>
    <row r="38">
      <c r="A38" s="12" t="inlineStr">
        <is>
          <t>Trạng thái trao đổi với Partner:</t>
        </is>
      </c>
      <c r="B38" s="13" t="inlineStr">
        <is>
          <t>Đã có API Webhook kết nối 2 chiều; đã triển khai thử nghiệm Alpha Pilot với 3 merchants đang dùng Pancake.</t>
        </is>
      </c>
      <c r="C38" s="14" t="n"/>
      <c r="D38" s="14" t="n"/>
      <c r="E38" s="15" t="n"/>
    </row>
  </sheetData>
  <mergeCells count="8">
    <mergeCell ref="A34:E34"/>
    <mergeCell ref="A4:E4"/>
    <mergeCell ref="B35:E35"/>
    <mergeCell ref="A24:E24"/>
    <mergeCell ref="B38:E38"/>
    <mergeCell ref="A13:E13"/>
    <mergeCell ref="B37:E37"/>
    <mergeCell ref="B36:E3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58" customWidth="1" min="3" max="3"/>
    <col width="24" customWidth="1" min="4" max="4"/>
    <col width="26" customWidth="1" min="5" max="5"/>
  </cols>
  <sheetData>
    <row r="1">
      <c r="A1" s="1" t="inlineStr">
        <is>
          <t>TAB 5: PAIN MOMENT, KẾ HOẠCH GTM 90 NGÀY &amp; CHECKLIST EVIDENCE PACK</t>
        </is>
      </c>
    </row>
    <row r="2">
      <c r="A2" s="2" t="inlineStr">
        <is>
          <t>Chi tiết hóa Điểm chạm khách hàng, Lộ trình triển khai 3 giai đoạn và Bộ tài sản bán hàng pháp lý/bảo mật</t>
        </is>
      </c>
    </row>
    <row r="4">
      <c r="A4" s="4" t="inlineStr">
        <is>
          <t>1. PAIN MOMENT &amp; ĐIỂM NHÚNG KHÔNG MA SÁT (ZERO-FRICTION INTEGRATION)</t>
        </is>
      </c>
    </row>
    <row r="5">
      <c r="A5" s="12" t="inlineStr">
        <is>
          <t>Pain Moment - MẤY GIỜ?</t>
        </is>
      </c>
      <c r="B5" s="13" t="inlineStr">
        <is>
          <t>22h00 đêm đến 02h00 sáng (Khung giờ vàng mua sắm online ca đêm nhưng nhân sự CSKH đã off ca).</t>
        </is>
      </c>
      <c r="C5" s="14" t="n"/>
      <c r="D5" s="14" t="n"/>
      <c r="E5" s="15" t="n"/>
    </row>
    <row r="6">
      <c r="A6" s="12" t="inlineStr">
        <is>
          <t>Pain Moment - ĐANG LÀM GÌ?</t>
        </is>
      </c>
      <c r="B6" s="13" t="inlineStr">
        <is>
          <t>Khách hàng nhắn tin hỏi tư vấn đổi size, check tình trạng đơn hàng, hoặc phàn nàn giao trễ. Không ai rep -&gt; Khách huỷ đơn, đánh giá 1 sao.</t>
        </is>
      </c>
      <c r="C6" s="14" t="n"/>
      <c r="D6" s="14" t="n"/>
      <c r="E6" s="15" t="n"/>
    </row>
    <row r="7">
      <c r="A7" s="12" t="inlineStr">
        <is>
          <t>Pain Moment - DÙNG APP NÀO?</t>
        </is>
      </c>
      <c r="B7" s="13" t="inlineStr">
        <is>
          <t>Chủ shop / CS Lead đang mở điện thoại kiểm tra Pancake Inbox, Zalo OA hoặc Shopee/TikTok chat thấy hàng chục tin chưa trả lời.</t>
        </is>
      </c>
      <c r="C7" s="14" t="n"/>
      <c r="D7" s="14" t="n"/>
      <c r="E7" s="15" t="n"/>
    </row>
    <row r="8">
      <c r="A8" s="12" t="inlineStr">
        <is>
          <t>Điểm nhúng sản phẩm (Surface):</t>
        </is>
      </c>
      <c r="B8" s="13" t="inlineStr">
        <is>
          <t>Cắm thẳng qua Webhook vào Pancake / Haravan / Zalo OA. Khách hàng bấm 1-click tích hợp, KHÔNG bắt mở thêm website riêng biệt.</t>
        </is>
      </c>
      <c r="C8" s="14" t="n"/>
      <c r="D8" s="14" t="n"/>
      <c r="E8" s="15" t="n"/>
    </row>
    <row r="10">
      <c r="A10" s="4" t="inlineStr">
        <is>
          <t>2. KẾ HOẠCH GTM 90 NGÀY (3 GIAI ĐOẠN: HIỂU SÂU -&gt; ĐÒN BẨY -&gt; MỞ RỘNG)</t>
        </is>
      </c>
    </row>
    <row r="11">
      <c r="A11" s="5" t="inlineStr">
        <is>
          <t>Giai đoạn</t>
        </is>
      </c>
      <c r="B11" s="5" t="inlineStr">
        <is>
          <t>Mục tiêu trọng tâm</t>
        </is>
      </c>
      <c r="C11" s="5" t="inlineStr">
        <is>
          <t>Hành động cụ thể</t>
        </is>
      </c>
      <c r="D11" s="5" t="inlineStr">
        <is>
          <t>KPI định lượng</t>
        </is>
      </c>
      <c r="E11" s="5" t="inlineStr">
        <is>
          <t>Người chịu trách nhiệm</t>
        </is>
      </c>
    </row>
    <row r="12">
      <c r="A12" s="61" t="inlineStr">
        <is>
          <t>Tháng 1 (Day 1 - 30)
HIỂU SÂU &amp; THỰC CHỨNG</t>
        </is>
      </c>
      <c r="B12" s="62" t="inlineStr">
        <is>
          <t>Làm việc tận tay với 5 Design Partners đầu tiên trên Pancake để tinh chỉnh bot.</t>
        </is>
      </c>
      <c r="C12" s="62" t="inlineStr">
        <is>
          <t>1. Cài đặt trực tiếp cho 5 shop E-commerce (Thời trang &amp; Mỹ phẩm).
2. Đo lường Containment rate thực tế và audit 100% lỗi escalation.
3. Hoàn thiện bộ Prompt Caching &amp; RAG catalog.</t>
        </is>
      </c>
      <c r="D12" s="61" t="inlineStr">
        <is>
          <t>• 5 khách hàng active
• Containment &gt;= 80%
• CSAT &gt;= 4.5/5
• 0 lỗi rò rỉ dữ liệu</t>
        </is>
      </c>
      <c r="E12" s="63" t="inlineStr">
        <is>
          <t>Founder &amp; Lead AI Engineer</t>
        </is>
      </c>
    </row>
    <row r="13">
      <c r="A13" s="61" t="inlineStr">
        <is>
          <t>Tháng 2 - 3 (Day 31 - 90)
ĐÒN BẨY PARTNER &amp; PLG</t>
        </is>
      </c>
      <c r="B13" s="62" t="inlineStr">
        <is>
          <t>Ra mắt chính thức trên Pancake App Marketplace &amp; Co-marketing.</t>
        </is>
      </c>
      <c r="C13" s="62" t="inlineStr">
        <is>
          <t>1. Public App trên Pancake Marketplace với ưu đãi 100 resolutions free.
2. Tổ chức Webinar chia sẻ Case Study tiết kiệm 70% chi phí trực đêm.
3. Triển khai tính năng tự động nạp credits (Self-serve billing).</t>
        </is>
      </c>
      <c r="D13" s="61" t="inlineStr">
        <is>
          <t>• 50 khách hàng trả phí
• MRR đạt $5,000
• CAC &lt; $150 / khách
• Containment giữ vững &gt; 80%</t>
        </is>
      </c>
      <c r="E13" s="63" t="inlineStr">
        <is>
          <t>Growth Lead &amp; Partner Manager</t>
        </is>
      </c>
    </row>
    <row r="14">
      <c r="A14" s="61" t="inlineStr">
        <is>
          <t>Tháng 4+ (Day 91+)
MỞ RỘNG &amp; UPSELL</t>
        </is>
      </c>
      <c r="B14" s="62" t="inlineStr">
        <is>
          <t>Mở rộng sang Haravan, Sapo, Zalo OA và ra mắt tính năng Action Agent.</t>
        </is>
      </c>
      <c r="C14" s="62" t="inlineStr">
        <is>
          <t>1. Tích hợp thêm Haravan, Sapo, Zalo OA.
2. Ra mắt Agent tự xử lý đổi trả (Refund/Exchange Action) tăng ARPU.
3. Đàm phán gói phân phối Enterprise với các chuỗi bán lẻ lớn.</t>
        </is>
      </c>
      <c r="D14" s="61" t="inlineStr">
        <is>
          <t>• 150 khách hàng trả phí
• MRR đạt $15,000
• Net Retention Rate &gt; 115%
• Gross Margin &gt; 70%</t>
        </is>
      </c>
      <c r="E14" s="63" t="inlineStr">
        <is>
          <t>CEO &amp; Sales Lead</t>
        </is>
      </c>
    </row>
    <row r="16">
      <c r="A16" s="4" t="inlineStr">
        <is>
          <t>3. EVIDENCE PACK - 3 TÀI SẢN BÁN HÀNG ĐỂ VƯỢT QUA IT &amp; PROCUREMENT</t>
        </is>
      </c>
    </row>
    <row r="17">
      <c r="A17" s="5" t="inlineStr">
        <is>
          <t>Tài sản bán hàng</t>
        </is>
      </c>
      <c r="B17" s="5" t="inlineStr">
        <is>
          <t>Trạng thái hiện tại</t>
        </is>
      </c>
      <c r="C17" s="5" t="inlineStr">
        <is>
          <t>Nội dung chi tiết tài sản</t>
        </is>
      </c>
      <c r="D17" s="5" t="inlineStr">
        <is>
          <t>Thời hạn hoàn thành</t>
        </is>
      </c>
      <c r="E17" s="5" t="inlineStr">
        <is>
          <t>Người chịu trách nhiệm</t>
        </is>
      </c>
    </row>
    <row r="18">
      <c r="A18" s="61" t="inlineStr">
        <is>
          <t>1. Eval Results (Báo cáo đo lường chất lượng)</t>
        </is>
      </c>
      <c r="B18" s="9" t="inlineStr">
        <is>
          <t>ĐÃ CÓ (Verified)</t>
        </is>
      </c>
      <c r="C18" s="62" t="inlineStr">
        <is>
          <t>Bộ dữ liệu 500 test cases thực chiến: Factual Accuracy 96.4%, Containment Rate 82.0%, Tỷ lệ nhận diện escalation an toàn 98.8%, Không ghi nhận hallucination nghiêm trọng.</t>
        </is>
      </c>
      <c r="D18" s="64" t="inlineStr">
        <is>
          <t>Đã hoàn thành</t>
        </is>
      </c>
      <c r="E18" s="63" t="inlineStr">
        <is>
          <t>AI Lead Engineer</t>
        </is>
      </c>
    </row>
    <row r="19">
      <c r="A19" s="61" t="inlineStr">
        <is>
          <t>2. Procurement &amp; Security Q&amp;A (Bản cam kết bảo mật)</t>
        </is>
      </c>
      <c r="B19" s="9" t="inlineStr">
        <is>
          <t>ĐÃ CÓ (Ready)</t>
        </is>
      </c>
      <c r="C19" s="62" t="inlineStr">
        <is>
          <t>Tài liệu văn bản trả lời 3 câu hỏi sống còn của IT:
1. Zero Data Retention: Dữ liệu khách hàng không bao giờ bị dùng để train model.
2. Bảo mật AES-256 trên đường truyền và lưu trữ tại AWS Singapore.
3. Data Escrow &amp; Export: Dễ dàng xuất toàn bộ dữ liệu khi dừng dịch vụ.</t>
        </is>
      </c>
      <c r="D19" s="64" t="inlineStr">
        <is>
          <t>Đã hoàn thành</t>
        </is>
      </c>
      <c r="E19" s="63" t="inlineStr">
        <is>
          <t>CTO &amp; Compliance Lead</t>
        </is>
      </c>
    </row>
    <row r="20">
      <c r="A20" s="61" t="inlineStr">
        <is>
          <t>3. Pilot Report (Báo cáo thử nghiệm thực tế)</t>
        </is>
      </c>
      <c r="B20" s="6" t="inlineStr">
        <is>
          <t>ĐANG THỰC HIỆN</t>
        </is>
      </c>
      <c r="C20" s="62" t="inlineStr">
        <is>
          <t>Báo cáo thử nghiệm 3 tuần với thương hiệu thời trang D2C (quy mô 2,000 ticket/tháng): Giải quyết 1,640 ticket ca đêm, giảm thời gian phản hồi từ 35 phút xuống 6 giây, tiết kiệm 10.5 triệu VNĐ chi phí trực ca.</t>
        </is>
      </c>
      <c r="D20" s="64" t="inlineStr">
        <is>
          <t>Deadline: Day 30</t>
        </is>
      </c>
      <c r="E20" s="63" t="inlineStr">
        <is>
          <t>Product Manager &amp; Founder</t>
        </is>
      </c>
    </row>
  </sheetData>
  <mergeCells count="7">
    <mergeCell ref="A4:E4"/>
    <mergeCell ref="B8:E8"/>
    <mergeCell ref="A16:E16"/>
    <mergeCell ref="A10:E10"/>
    <mergeCell ref="B6:E6"/>
    <mergeCell ref="B7:E7"/>
    <mergeCell ref="B5:E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2"/>
  <sheetViews>
    <sheetView showGridLines="1" workbookViewId="0">
      <selection activeCell="A1" sqref="A1"/>
    </sheetView>
  </sheetViews>
  <sheetFormatPr baseColWidth="8" defaultRowHeight="15"/>
  <cols>
    <col width="36" customWidth="1" min="1" max="1"/>
    <col width="26" customWidth="1" min="2" max="2"/>
    <col width="32" customWidth="1" min="3" max="3"/>
    <col width="35" customWidth="1" min="4" max="4"/>
    <col width="46" customWidth="1" min="5" max="5"/>
    <col width="48" customWidth="1" min="6" max="6"/>
  </cols>
  <sheetData>
    <row r="1">
      <c r="A1" s="1" t="inlineStr">
        <is>
          <t>TAB 6: BẢNG GIÁ THAM CHIẾU NHÀ CUNG CẤP &amp; BENCHMARK NGÀNH</t>
        </is>
      </c>
    </row>
    <row r="2">
      <c r="A2" s="2" t="inlineStr">
        <is>
          <t>Dữ liệu đối soát niêm yết chính thức chốt ngày 26/08/2026 (Kèm liên kết nguồn)</t>
        </is>
      </c>
    </row>
    <row r="4">
      <c r="A4" s="4" t="inlineStr">
        <is>
          <t>1. BẢNG GIÁ API MÔ HÌNH LLM &amp; SPEECH (CHỐT 26/08/2026)</t>
        </is>
      </c>
    </row>
    <row r="5">
      <c r="A5" s="5" t="inlineStr">
        <is>
          <t>Nhà cung cấp / Mô hình</t>
        </is>
      </c>
      <c r="B5" s="5" t="inlineStr">
        <is>
          <t>Loại dịch vụ</t>
        </is>
      </c>
      <c r="C5" s="5" t="inlineStr">
        <is>
          <t>Giá Input / Cache Read</t>
        </is>
      </c>
      <c r="D5" s="5" t="inlineStr">
        <is>
          <t>Giá Output / Cache Write</t>
        </is>
      </c>
      <c r="E5" s="5" t="inlineStr">
        <is>
          <t>Đơn vị tính</t>
        </is>
      </c>
      <c r="F5" s="5" t="inlineStr">
        <is>
          <t>Đường dẫn nguồn tài liệu</t>
        </is>
      </c>
    </row>
    <row r="6">
      <c r="A6" s="12" t="inlineStr">
        <is>
          <t>Anthropic Claude 3.5 Haiku</t>
        </is>
      </c>
      <c r="B6" s="16" t="inlineStr">
        <is>
          <t>LLM API</t>
        </is>
      </c>
      <c r="C6" s="16" t="inlineStr">
        <is>
          <t>$1.00 (Fresh) / $0.10 (Cache Read)</t>
        </is>
      </c>
      <c r="D6" s="16" t="inlineStr">
        <is>
          <t>$5.00 (Output) / $1.25 (Cache Write)</t>
        </is>
      </c>
      <c r="E6" s="16" t="inlineStr">
        <is>
          <t>Per 1M tokens</t>
        </is>
      </c>
      <c r="F6" s="18" t="inlineStr">
        <is>
          <t>https://platform.claude.com/docs/en/about-claude/pricing</t>
        </is>
      </c>
    </row>
    <row r="7">
      <c r="A7" s="12" t="inlineStr">
        <is>
          <t>Anthropic Claude 3.5 Sonnet</t>
        </is>
      </c>
      <c r="B7" s="16" t="inlineStr">
        <is>
          <t>LLM API</t>
        </is>
      </c>
      <c r="C7" s="16" t="inlineStr">
        <is>
          <t>$3.00 (Fresh) / $0.30 (Cache Read)</t>
        </is>
      </c>
      <c r="D7" s="16" t="inlineStr">
        <is>
          <t>$15.00 (Output) / $3.75 (Cache Write)</t>
        </is>
      </c>
      <c r="E7" s="16" t="inlineStr">
        <is>
          <t>Per 1M tokens</t>
        </is>
      </c>
      <c r="F7" s="18" t="inlineStr">
        <is>
          <t>https://platform.claude.com/docs/en/about-claude/pricing</t>
        </is>
      </c>
    </row>
    <row r="8">
      <c r="A8" s="12" t="inlineStr">
        <is>
          <t>Anthropic Claude 3 Opus</t>
        </is>
      </c>
      <c r="B8" s="16" t="inlineStr">
        <is>
          <t>LLM API</t>
        </is>
      </c>
      <c r="C8" s="16" t="inlineStr">
        <is>
          <t>$15.00 (Fresh) / $1.50 (Cache Read)</t>
        </is>
      </c>
      <c r="D8" s="16" t="inlineStr">
        <is>
          <t>$75.00 (Output) / $18.75 (Cache Write)</t>
        </is>
      </c>
      <c r="E8" s="16" t="inlineStr">
        <is>
          <t>Per 1M tokens</t>
        </is>
      </c>
      <c r="F8" s="18" t="inlineStr">
        <is>
          <t>https://platform.claude.com/docs/en/about-claude/pricing</t>
        </is>
      </c>
    </row>
    <row r="9">
      <c r="A9" s="12" t="inlineStr">
        <is>
          <t>OpenAI GPT-5.6 Sol (Promo ⏳)</t>
        </is>
      </c>
      <c r="B9" s="16" t="inlineStr">
        <is>
          <t>LLM API</t>
        </is>
      </c>
      <c r="C9" s="16" t="inlineStr">
        <is>
          <t>$4.00 (Fresh) / $0.40 (Cache Read)</t>
        </is>
      </c>
      <c r="D9" s="16" t="inlineStr">
        <is>
          <t>$20.00 (Output)</t>
        </is>
      </c>
      <c r="E9" s="16" t="inlineStr">
        <is>
          <t>Per 1M tokens</t>
        </is>
      </c>
      <c r="F9" s="18" t="inlineStr">
        <is>
          <t>https://developers.openai.com/api/docs/pricing</t>
        </is>
      </c>
    </row>
    <row r="10">
      <c r="A10" s="12" t="inlineStr">
        <is>
          <t>Google Gemini 3.7 Flash (Promo ⏳)</t>
        </is>
      </c>
      <c r="B10" s="16" t="inlineStr">
        <is>
          <t>LLM API</t>
        </is>
      </c>
      <c r="C10" s="16" t="inlineStr">
        <is>
          <t>$0.75 (Fresh) / $0.075 (Cache Read)</t>
        </is>
      </c>
      <c r="D10" s="16" t="inlineStr">
        <is>
          <t>$3.75 (Output)</t>
        </is>
      </c>
      <c r="E10" s="16" t="inlineStr">
        <is>
          <t>Per 1M tokens</t>
        </is>
      </c>
      <c r="F10" s="18" t="inlineStr">
        <is>
          <t>https://ai.google.dev/gemini-api/docs/pricing</t>
        </is>
      </c>
    </row>
    <row r="11">
      <c r="A11" s="12" t="inlineStr">
        <is>
          <t>Deepgram Nova-3 (Streaming ⏳)</t>
        </is>
      </c>
      <c r="B11" s="16" t="inlineStr">
        <is>
          <t>Speech-to-Text</t>
        </is>
      </c>
      <c r="C11" s="16" t="inlineStr">
        <is>
          <t>$0.0048 (Promo) / $0.0077 (List)</t>
        </is>
      </c>
      <c r="D11" s="16" t="inlineStr">
        <is>
          <t>N/A</t>
        </is>
      </c>
      <c r="E11" s="16" t="inlineStr">
        <is>
          <t>Per phút audio</t>
        </is>
      </c>
      <c r="F11" s="18" t="inlineStr">
        <is>
          <t>https://deepgram.com/pricing</t>
        </is>
      </c>
    </row>
    <row r="12">
      <c r="A12" s="12" t="inlineStr">
        <is>
          <t>AssemblyAI Universal-2</t>
        </is>
      </c>
      <c r="B12" s="16" t="inlineStr">
        <is>
          <t>Speech-to-Text</t>
        </is>
      </c>
      <c r="C12" s="16" t="inlineStr">
        <is>
          <t>$0.0025 (Async)</t>
        </is>
      </c>
      <c r="D12" s="16" t="inlineStr">
        <is>
          <t>N/A</t>
        </is>
      </c>
      <c r="E12" s="16" t="inlineStr">
        <is>
          <t>Per phút audio</t>
        </is>
      </c>
      <c r="F12" s="18" t="inlineStr">
        <is>
          <t>https://www.assemblyai.com/pricing</t>
        </is>
      </c>
    </row>
    <row r="13">
      <c r="A13" s="12" t="inlineStr">
        <is>
          <t>ElevenLabs Flash / Turbo</t>
        </is>
      </c>
      <c r="B13" s="16" t="inlineStr">
        <is>
          <t>Text-to-Speech</t>
        </is>
      </c>
      <c r="C13" s="16" t="inlineStr">
        <is>
          <t>N/A</t>
        </is>
      </c>
      <c r="D13" s="16" t="inlineStr">
        <is>
          <t>$50.00 / 1M ký tự</t>
        </is>
      </c>
      <c r="E13" s="16" t="inlineStr">
        <is>
          <t>Per 1M ký tự</t>
        </is>
      </c>
      <c r="F13" s="18" t="inlineStr">
        <is>
          <t>https://elevenlabs.io/pricing/api</t>
        </is>
      </c>
    </row>
    <row r="14">
      <c r="A14" s="12" t="inlineStr">
        <is>
          <t>Google Cloud Text-to-Speech Standard</t>
        </is>
      </c>
      <c r="B14" s="16" t="inlineStr">
        <is>
          <t>Text-to-Speech</t>
        </is>
      </c>
      <c r="C14" s="16" t="inlineStr">
        <is>
          <t>N/A</t>
        </is>
      </c>
      <c r="D14" s="16" t="inlineStr">
        <is>
          <t>$4.00 / 1M ký tự</t>
        </is>
      </c>
      <c r="E14" s="16" t="inlineStr">
        <is>
          <t>Per 1M ký tự</t>
        </is>
      </c>
      <c r="F14" s="18" t="inlineStr">
        <is>
          <t>https://cloud.google.com/text-to-speech/pricing</t>
        </is>
      </c>
    </row>
    <row r="16">
      <c r="A16" s="4" t="inlineStr">
        <is>
          <t>2. BẢNG GIÁ SẢN PHẨM AI &amp; VALUE METRIC THỰC TẾ</t>
        </is>
      </c>
    </row>
    <row r="18">
      <c r="A18" s="12" t="inlineStr">
        <is>
          <t>Intercom Fin</t>
        </is>
      </c>
      <c r="B18" s="16" t="inlineStr">
        <is>
          <t>Customer Service Agent</t>
        </is>
      </c>
      <c r="C18" s="16" t="inlineStr">
        <is>
          <t>Outcome-based</t>
        </is>
      </c>
      <c r="D18" s="12" t="inlineStr">
        <is>
          <t>$0.99 / resolution</t>
        </is>
      </c>
      <c r="E18" s="16" t="inlineStr">
        <is>
          <t>Không tính phí seat khi cắm Helpdesk ngoài</t>
        </is>
      </c>
      <c r="F18" s="18" t="inlineStr">
        <is>
          <t>https://fin.ai/pricing/</t>
        </is>
      </c>
    </row>
    <row r="19">
      <c r="A19" s="12" t="inlineStr">
        <is>
          <t>GitHub Copilot</t>
        </is>
      </c>
      <c r="B19" s="16" t="inlineStr">
        <is>
          <t>Developer AI Agent</t>
        </is>
      </c>
      <c r="C19" s="16" t="inlineStr">
        <is>
          <t>Hybrid (Seat + Credits)</t>
        </is>
      </c>
      <c r="D19" s="12" t="inlineStr">
        <is>
          <t>$19 / seat / tháng (kèm 1,900 credits) + $0.01/credit vượt</t>
        </is>
      </c>
      <c r="E19" s="16" t="inlineStr">
        <is>
          <t>Đổi Value Metric từ 01/06/2026</t>
        </is>
      </c>
      <c r="F19" s="18" t="inlineStr">
        <is>
          <t>https://docs.github.com/en/copilot/get-started/plans</t>
        </is>
      </c>
    </row>
    <row r="20">
      <c r="A20" s="12" t="inlineStr">
        <is>
          <t>Salesforce Agentforce</t>
        </is>
      </c>
      <c r="B20" s="16" t="inlineStr">
        <is>
          <t>Autonomous Enterprise Agent</t>
        </is>
      </c>
      <c r="C20" s="16" t="inlineStr">
        <is>
          <t>Usage (Action/Conversation)</t>
        </is>
      </c>
      <c r="D20" s="12" t="inlineStr">
        <is>
          <t>$2.00 / conversation hoặc Flex Credits $500/100,000 ($0.10/action)</t>
        </is>
      </c>
      <c r="E20" s="16" t="inlineStr">
        <is>
          <t>$5 / user / tháng phí nền</t>
        </is>
      </c>
      <c r="F20" s="18" t="inlineStr">
        <is>
          <t>https://www.salesforce.com/agentforce/pricing/</t>
        </is>
      </c>
    </row>
    <row r="21">
      <c r="A21" s="12" t="inlineStr">
        <is>
          <t>Zendesk AI</t>
        </is>
      </c>
      <c r="B21" s="16" t="inlineStr">
        <is>
          <t>Support Automation</t>
        </is>
      </c>
      <c r="C21" s="16" t="inlineStr">
        <is>
          <t>Outcome-based</t>
        </is>
      </c>
      <c r="D21" s="12" t="inlineStr">
        <is>
          <t>$1.50 / automated resolution (3 bậc resolution)</t>
        </is>
      </c>
      <c r="E21" s="16" t="inlineStr">
        <is>
          <t>Gắn định nghĩa timeout theo kênh</t>
        </is>
      </c>
      <c r="F21" s="18" t="inlineStr">
        <is>
          <t>https://zendesk.com/pricing</t>
        </is>
      </c>
    </row>
    <row r="22">
      <c r="A22" s="12" t="inlineStr">
        <is>
          <t>Clay</t>
        </is>
      </c>
      <c r="B22" s="16" t="inlineStr">
        <is>
          <t>GTM &amp; Data Enrichment</t>
        </is>
      </c>
      <c r="C22" s="16" t="inlineStr">
        <is>
          <t>Hybrid</t>
        </is>
      </c>
      <c r="D22" s="12" t="inlineStr">
        <is>
          <t>$167 - $446 / tháng (không giới hạn seat) + Credits</t>
        </is>
      </c>
      <c r="E22" s="16" t="inlineStr">
        <is>
          <t>Top-up usage +30%</t>
        </is>
      </c>
      <c r="F22" s="18" t="inlineStr">
        <is>
          <t>https://www.clay.com/pricing</t>
        </is>
      </c>
    </row>
    <row r="23">
      <c r="A23" s="12" t="inlineStr">
        <is>
          <t>Cursor</t>
        </is>
      </c>
      <c r="B23" s="16" t="inlineStr">
        <is>
          <t>AI Code Editor</t>
        </is>
      </c>
      <c r="C23" s="16" t="inlineStr">
        <is>
          <t>Hybrid</t>
        </is>
      </c>
      <c r="D23" s="12" t="inlineStr">
        <is>
          <t>$20 - $200 / tháng cá nhân; $40 - $120 / seat teams + usage</t>
        </is>
      </c>
      <c r="E23" s="16" t="inlineStr">
        <is>
          <t>On-demand usage tính sau</t>
        </is>
      </c>
      <c r="F23" s="18" t="inlineStr">
        <is>
          <t>https://cursor.com/pricing</t>
        </is>
      </c>
    </row>
    <row r="26">
      <c r="A26" s="4" t="inlineStr">
        <is>
          <t>3. BENCHMARK TÀI CHÍNH &amp; GTM CHO AI-NATIVE VÀ SAAS (BESSERMER &amp; ICONIQ)</t>
        </is>
      </c>
    </row>
    <row r="28">
      <c r="A28" s="12" t="inlineStr">
        <is>
          <t>ICONIQ 2026 State of AI Report</t>
        </is>
      </c>
      <c r="B28" s="16" t="inlineStr">
        <is>
          <t>Gross Margin AI-native</t>
        </is>
      </c>
      <c r="C28" s="12" t="inlineStr">
        <is>
          <t>52% - 53% (2026E)</t>
        </is>
      </c>
      <c r="D28" s="16" t="inlineStr">
        <is>
          <t>59% (2027E)</t>
        </is>
      </c>
      <c r="E28" s="16" t="inlineStr">
        <is>
          <t>84% công ty AI đẩy 1 phần chi phí token sang khách hàng</t>
        </is>
      </c>
      <c r="F28" s="18" t="inlineStr">
        <is>
          <t>https://www.iconiq.com/growth/reports/state-of-ai-2026</t>
        </is>
      </c>
    </row>
    <row r="29">
      <c r="A29" s="12" t="inlineStr">
        <is>
          <t>Bessemer Venture Partners 2024</t>
        </is>
      </c>
      <c r="B29" s="16" t="inlineStr">
        <is>
          <t>Vertical AI Gross Margin</t>
        </is>
      </c>
      <c r="C29" s="12" t="inlineStr">
        <is>
          <t>65.0%</t>
        </is>
      </c>
      <c r="D29" s="16" t="inlineStr">
        <is>
          <t>Model cost ≈ 10% doanh thu (~25% COGS)</t>
        </is>
      </c>
      <c r="E29" s="16" t="inlineStr">
        <is>
          <t>Biên lợi nhuận gộp SaaS truyền thống: 60% - 80%</t>
        </is>
      </c>
      <c r="F29" s="18" t="inlineStr">
        <is>
          <t>https://www.bvp.com/atlas/state-of-the-cloud-2024</t>
        </is>
      </c>
    </row>
    <row r="30">
      <c r="A30" s="12" t="inlineStr">
        <is>
          <t>David Skok (SaaS Metrics 2.0)</t>
        </is>
      </c>
      <c r="B30" s="16" t="inlineStr">
        <is>
          <t>LTV : CAC Ratio &amp; Payback</t>
        </is>
      </c>
      <c r="C30" s="12" t="inlineStr">
        <is>
          <t>LTV : CAC &gt;= 3.0x (Tốt: 7x - 8x)</t>
        </is>
      </c>
      <c r="D30" s="16" t="inlineStr">
        <is>
          <t>Payback SMB &lt; 12 tháng, Mid &lt; 18, Ent &lt; 24</t>
        </is>
      </c>
      <c r="E30" s="16" t="inlineStr">
        <is>
          <t>Tỷ lệ tăng trưởng và hiệu quả vốn tối ưu</t>
        </is>
      </c>
      <c r="F30" s="18" t="inlineStr">
        <is>
          <t>https://www.forentrepreneurs.com/saas-metrics-2/</t>
        </is>
      </c>
    </row>
    <row r="31">
      <c r="A31" s="12" t="inlineStr">
        <is>
          <t>Tomasz Tunguz (Inside Sales Floor)</t>
        </is>
      </c>
      <c r="B31" s="16" t="inlineStr">
        <is>
          <t>Inside Sales Minimum ACV</t>
        </is>
      </c>
      <c r="C31" s="12" t="inlineStr">
        <is>
          <t>Tối thiểu ~$3,000 ACV</t>
        </is>
      </c>
      <c r="D31" s="16" t="inlineStr">
        <is>
          <t>Quota $500k, Loaded $100k, Attainment 75%</t>
        </is>
      </c>
      <c r="E31" s="16" t="inlineStr">
        <is>
          <t>Dưới $3,000 ACV bắt buộc dùng PLG hoặc Partner-Led</t>
        </is>
      </c>
      <c r="F31" s="18" t="inlineStr">
        <is>
          <t>https://tomtunguz.com/smallest-acv-to-justify-inside-sales-team/</t>
        </is>
      </c>
    </row>
    <row r="32">
      <c r="A32" s="12" t="inlineStr">
        <is>
          <t>ICONIQ 2026 GTM Cost</t>
        </is>
      </c>
      <c r="B32" s="16" t="inlineStr">
        <is>
          <t>Cost per Opportunity</t>
        </is>
      </c>
      <c r="C32" s="12" t="inlineStr">
        <is>
          <t>SMB: $6,300 | Mid: $8,000 | Ent: $11,200</t>
        </is>
      </c>
      <c r="D32" s="16" t="inlineStr">
        <is>
          <t>Win rate 25% -&gt; CAC Sales = $25,200 - $44,800</t>
        </is>
      </c>
      <c r="E32" s="16" t="inlineStr">
        <is>
          <t>Chi phí nuôi sales rep rất cao</t>
        </is>
      </c>
      <c r="F32" s="18" t="inlineStr">
        <is>
          <t>https://www.iconiq.com</t>
        </is>
      </c>
    </row>
  </sheetData>
  <mergeCells count="3">
    <mergeCell ref="A26:F26"/>
    <mergeCell ref="A16:F16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2026-10-08T14:21:38Z</dcterms:created>
  <dcterms:modified xmlns:dcterms="http://purl.org/dc/terms/" xmlns:xsi="http://www.w3.org/2001/XMLSchema-instance" xsi:type="dcterms:W3CDTF">2026-10-08T14:21:38Z</dcterms:modified>
</cp:coreProperties>
</file>